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ЭтаКнига" autoCompressPictures="0"/>
  <mc:AlternateContent xmlns:mc="http://schemas.openxmlformats.org/markup-compatibility/2006">
    <mc:Choice Requires="x15">
      <x15ac:absPath xmlns:x15ac="http://schemas.microsoft.com/office/spreadsheetml/2010/11/ac" url="D:\docs\GOODLIFT\!_ GL Factor\XLS-Sheets\v.2 - 2021\"/>
    </mc:Choice>
  </mc:AlternateContent>
  <xr:revisionPtr revIDLastSave="0" documentId="13_ncr:1_{EF55423E-28DF-4A63-9D1C-E2E84B13A5AC}" xr6:coauthVersionLast="45" xr6:coauthVersionMax="45" xr10:uidLastSave="{00000000-0000-0000-0000-000000000000}"/>
  <bookViews>
    <workbookView xWindow="-120" yWindow="-120" windowWidth="29040" windowHeight="17790" xr2:uid="{00000000-000D-0000-FFFF-FFFF00000000}"/>
  </bookViews>
  <sheets>
    <sheet name="Scoresheet" sheetId="1" r:id="rId1"/>
    <sheet name="Instructions" sheetId="3" r:id="rId2"/>
    <sheet name="IPF GL Formula" sheetId="4" r:id="rId3"/>
    <sheet name="WeightClasses" sheetId="2" state="hidden" r:id="rId4"/>
  </sheets>
  <definedNames>
    <definedName name="_xlnm.Print_Area" localSheetId="0">Scoresheet!$A$1:$AF$105</definedName>
  </definedNames>
  <calcPr calcId="18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I6" i="1" l="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5" i="1"/>
  <c r="AI6" i="1"/>
  <c r="AJ6" i="1"/>
  <c r="AK6" i="1"/>
  <c r="AL6" i="1"/>
  <c r="AM6" i="1"/>
  <c r="AN6" i="1"/>
  <c r="AO6" i="1"/>
  <c r="AP6" i="1"/>
  <c r="AQ6" i="1"/>
  <c r="AR6" i="1"/>
  <c r="AS6" i="1"/>
  <c r="AT6" i="1"/>
  <c r="AU6" i="1"/>
  <c r="AI7" i="1"/>
  <c r="AJ7" i="1"/>
  <c r="AK7" i="1"/>
  <c r="AL7" i="1"/>
  <c r="AM7" i="1"/>
  <c r="AN7" i="1"/>
  <c r="AO7" i="1"/>
  <c r="AP7" i="1"/>
  <c r="AQ7" i="1"/>
  <c r="AR7" i="1"/>
  <c r="AS7" i="1"/>
  <c r="AT7" i="1"/>
  <c r="AU7" i="1"/>
  <c r="AI8" i="1"/>
  <c r="AJ8" i="1"/>
  <c r="AK8" i="1"/>
  <c r="AL8" i="1"/>
  <c r="AM8" i="1"/>
  <c r="AN8" i="1"/>
  <c r="AO8" i="1"/>
  <c r="AP8" i="1"/>
  <c r="AQ8" i="1"/>
  <c r="AR8" i="1"/>
  <c r="AS8" i="1"/>
  <c r="AT8" i="1"/>
  <c r="AU8" i="1"/>
  <c r="AI9" i="1"/>
  <c r="AJ9" i="1"/>
  <c r="AK9" i="1"/>
  <c r="AL9" i="1"/>
  <c r="AM9" i="1"/>
  <c r="AN9" i="1"/>
  <c r="AO9" i="1"/>
  <c r="AP9" i="1"/>
  <c r="AQ9" i="1"/>
  <c r="AR9" i="1"/>
  <c r="AS9" i="1"/>
  <c r="AT9" i="1"/>
  <c r="AU9" i="1"/>
  <c r="AI10" i="1"/>
  <c r="AJ10" i="1"/>
  <c r="AK10" i="1"/>
  <c r="AL10" i="1"/>
  <c r="AM10" i="1"/>
  <c r="AN10" i="1"/>
  <c r="AO10" i="1"/>
  <c r="AP10" i="1"/>
  <c r="AQ10" i="1"/>
  <c r="AR10" i="1"/>
  <c r="AS10" i="1"/>
  <c r="AT10" i="1"/>
  <c r="AU10" i="1"/>
  <c r="AI11" i="1"/>
  <c r="AJ11" i="1"/>
  <c r="AK11" i="1"/>
  <c r="AL11" i="1"/>
  <c r="AM11" i="1"/>
  <c r="AN11" i="1"/>
  <c r="AO11" i="1"/>
  <c r="AP11" i="1"/>
  <c r="AQ11" i="1"/>
  <c r="AR11" i="1"/>
  <c r="AS11" i="1"/>
  <c r="AT11" i="1"/>
  <c r="AU11" i="1"/>
  <c r="AI12" i="1"/>
  <c r="AJ12" i="1"/>
  <c r="AK12" i="1"/>
  <c r="AL12" i="1"/>
  <c r="AM12" i="1"/>
  <c r="AN12" i="1"/>
  <c r="AO12" i="1"/>
  <c r="AP12" i="1"/>
  <c r="AQ12" i="1"/>
  <c r="AR12" i="1"/>
  <c r="AS12" i="1"/>
  <c r="AT12" i="1"/>
  <c r="AU12" i="1"/>
  <c r="AI13" i="1"/>
  <c r="AJ13" i="1"/>
  <c r="AK13" i="1"/>
  <c r="AL13" i="1"/>
  <c r="AM13" i="1"/>
  <c r="AN13" i="1"/>
  <c r="AO13" i="1"/>
  <c r="AP13" i="1"/>
  <c r="AQ13" i="1"/>
  <c r="AR13" i="1"/>
  <c r="AS13" i="1"/>
  <c r="AT13" i="1"/>
  <c r="AU13" i="1"/>
  <c r="AI14" i="1"/>
  <c r="AJ14" i="1"/>
  <c r="AK14" i="1"/>
  <c r="AL14" i="1"/>
  <c r="AM14" i="1"/>
  <c r="AN14" i="1"/>
  <c r="AO14" i="1"/>
  <c r="AP14" i="1"/>
  <c r="AQ14" i="1"/>
  <c r="AR14" i="1"/>
  <c r="AS14" i="1"/>
  <c r="AT14" i="1"/>
  <c r="AU14" i="1"/>
  <c r="AI15" i="1"/>
  <c r="AJ15" i="1"/>
  <c r="AK15" i="1"/>
  <c r="AL15" i="1"/>
  <c r="AM15" i="1"/>
  <c r="AN15" i="1"/>
  <c r="AO15" i="1"/>
  <c r="AP15" i="1"/>
  <c r="AQ15" i="1"/>
  <c r="AR15" i="1"/>
  <c r="AS15" i="1"/>
  <c r="AT15" i="1"/>
  <c r="AU15" i="1"/>
  <c r="AI16" i="1"/>
  <c r="AJ16" i="1"/>
  <c r="AK16" i="1"/>
  <c r="AL16" i="1"/>
  <c r="AM16" i="1"/>
  <c r="AN16" i="1"/>
  <c r="AO16" i="1"/>
  <c r="AP16" i="1"/>
  <c r="AQ16" i="1"/>
  <c r="AR16" i="1"/>
  <c r="AS16" i="1"/>
  <c r="AT16" i="1"/>
  <c r="AU16" i="1"/>
  <c r="AI17" i="1"/>
  <c r="AJ17" i="1"/>
  <c r="AK17" i="1"/>
  <c r="AL17" i="1"/>
  <c r="AM17" i="1"/>
  <c r="AN17" i="1"/>
  <c r="AO17" i="1"/>
  <c r="AP17" i="1"/>
  <c r="AQ17" i="1"/>
  <c r="AR17" i="1"/>
  <c r="AS17" i="1"/>
  <c r="AT17" i="1"/>
  <c r="AU17" i="1"/>
  <c r="AI18" i="1"/>
  <c r="AJ18" i="1"/>
  <c r="AK18" i="1"/>
  <c r="AL18" i="1"/>
  <c r="AM18" i="1"/>
  <c r="AN18" i="1"/>
  <c r="AO18" i="1"/>
  <c r="AP18" i="1"/>
  <c r="AQ18" i="1"/>
  <c r="AR18" i="1"/>
  <c r="AS18" i="1"/>
  <c r="AT18" i="1"/>
  <c r="AU18" i="1"/>
  <c r="AI19" i="1"/>
  <c r="AJ19" i="1"/>
  <c r="AK19" i="1"/>
  <c r="AL19" i="1"/>
  <c r="AM19" i="1"/>
  <c r="AN19" i="1"/>
  <c r="AO19" i="1"/>
  <c r="AP19" i="1"/>
  <c r="AQ19" i="1"/>
  <c r="AR19" i="1"/>
  <c r="AS19" i="1"/>
  <c r="AT19" i="1"/>
  <c r="AU19" i="1"/>
  <c r="AI20" i="1"/>
  <c r="AJ20" i="1"/>
  <c r="AK20" i="1"/>
  <c r="AL20" i="1"/>
  <c r="AM20" i="1"/>
  <c r="AN20" i="1"/>
  <c r="AO20" i="1"/>
  <c r="AP20" i="1"/>
  <c r="AQ20" i="1"/>
  <c r="AR20" i="1"/>
  <c r="AS20" i="1"/>
  <c r="AT20" i="1"/>
  <c r="AU20" i="1"/>
  <c r="AI21" i="1"/>
  <c r="AJ21" i="1"/>
  <c r="AK21" i="1"/>
  <c r="AL21" i="1"/>
  <c r="AM21" i="1"/>
  <c r="AN21" i="1"/>
  <c r="AO21" i="1"/>
  <c r="AP21" i="1"/>
  <c r="AQ21" i="1"/>
  <c r="AR21" i="1"/>
  <c r="AS21" i="1"/>
  <c r="AT21" i="1"/>
  <c r="AU21" i="1"/>
  <c r="AI22" i="1"/>
  <c r="AJ22" i="1"/>
  <c r="AK22" i="1"/>
  <c r="AL22" i="1"/>
  <c r="AM22" i="1"/>
  <c r="AN22" i="1"/>
  <c r="AO22" i="1"/>
  <c r="AP22" i="1"/>
  <c r="AQ22" i="1"/>
  <c r="AR22" i="1"/>
  <c r="AS22" i="1"/>
  <c r="AT22" i="1"/>
  <c r="AU22" i="1"/>
  <c r="AI23" i="1"/>
  <c r="AJ23" i="1"/>
  <c r="AK23" i="1"/>
  <c r="AL23" i="1"/>
  <c r="AM23" i="1"/>
  <c r="AN23" i="1"/>
  <c r="AO23" i="1"/>
  <c r="AP23" i="1"/>
  <c r="AQ23" i="1"/>
  <c r="AR23" i="1"/>
  <c r="AS23" i="1"/>
  <c r="AT23" i="1"/>
  <c r="AU23" i="1"/>
  <c r="AI24" i="1"/>
  <c r="AJ24" i="1"/>
  <c r="AK24" i="1"/>
  <c r="AL24" i="1"/>
  <c r="AM24" i="1"/>
  <c r="AN24" i="1"/>
  <c r="AO24" i="1"/>
  <c r="AP24" i="1"/>
  <c r="AQ24" i="1"/>
  <c r="AR24" i="1"/>
  <c r="AS24" i="1"/>
  <c r="AT24" i="1"/>
  <c r="AU24" i="1"/>
  <c r="AI25" i="1"/>
  <c r="AJ25" i="1"/>
  <c r="AK25" i="1"/>
  <c r="AL25" i="1"/>
  <c r="AM25" i="1"/>
  <c r="AN25" i="1"/>
  <c r="AO25" i="1"/>
  <c r="AP25" i="1"/>
  <c r="AQ25" i="1"/>
  <c r="AR25" i="1"/>
  <c r="AS25" i="1"/>
  <c r="AT25" i="1"/>
  <c r="AU25" i="1"/>
  <c r="AI26" i="1"/>
  <c r="AJ26" i="1"/>
  <c r="AK26" i="1"/>
  <c r="AL26" i="1"/>
  <c r="AM26" i="1"/>
  <c r="AN26" i="1"/>
  <c r="AO26" i="1"/>
  <c r="AP26" i="1"/>
  <c r="AQ26" i="1"/>
  <c r="AR26" i="1"/>
  <c r="AS26" i="1"/>
  <c r="AT26" i="1"/>
  <c r="AU26" i="1"/>
  <c r="AI27" i="1"/>
  <c r="AJ27" i="1"/>
  <c r="AK27" i="1"/>
  <c r="AL27" i="1"/>
  <c r="AM27" i="1"/>
  <c r="AN27" i="1"/>
  <c r="AO27" i="1"/>
  <c r="AP27" i="1"/>
  <c r="AQ27" i="1"/>
  <c r="AR27" i="1"/>
  <c r="AS27" i="1"/>
  <c r="AT27" i="1"/>
  <c r="AU27" i="1"/>
  <c r="AI28" i="1"/>
  <c r="AJ28" i="1"/>
  <c r="AK28" i="1"/>
  <c r="AL28" i="1"/>
  <c r="AM28" i="1"/>
  <c r="AN28" i="1"/>
  <c r="AO28" i="1"/>
  <c r="AP28" i="1"/>
  <c r="AQ28" i="1"/>
  <c r="AR28" i="1"/>
  <c r="AS28" i="1"/>
  <c r="AT28" i="1"/>
  <c r="AU28" i="1"/>
  <c r="AI29" i="1"/>
  <c r="AJ29" i="1"/>
  <c r="AK29" i="1"/>
  <c r="AL29" i="1"/>
  <c r="AM29" i="1"/>
  <c r="AN29" i="1"/>
  <c r="AO29" i="1"/>
  <c r="AP29" i="1"/>
  <c r="AQ29" i="1"/>
  <c r="AR29" i="1"/>
  <c r="AS29" i="1"/>
  <c r="AT29" i="1"/>
  <c r="AU29" i="1"/>
  <c r="AI30" i="1"/>
  <c r="AJ30" i="1"/>
  <c r="AK30" i="1"/>
  <c r="AL30" i="1"/>
  <c r="AM30" i="1"/>
  <c r="AN30" i="1"/>
  <c r="AO30" i="1"/>
  <c r="AP30" i="1"/>
  <c r="AQ30" i="1"/>
  <c r="AR30" i="1"/>
  <c r="AS30" i="1"/>
  <c r="AT30" i="1"/>
  <c r="AU30" i="1"/>
  <c r="AI31" i="1"/>
  <c r="AJ31" i="1"/>
  <c r="AK31" i="1"/>
  <c r="AL31" i="1"/>
  <c r="AM31" i="1"/>
  <c r="AN31" i="1"/>
  <c r="AO31" i="1"/>
  <c r="AP31" i="1"/>
  <c r="AQ31" i="1"/>
  <c r="AR31" i="1"/>
  <c r="AS31" i="1"/>
  <c r="AT31" i="1"/>
  <c r="AU31" i="1"/>
  <c r="AI32" i="1"/>
  <c r="AJ32" i="1"/>
  <c r="AK32" i="1"/>
  <c r="AL32" i="1"/>
  <c r="AM32" i="1"/>
  <c r="AN32" i="1"/>
  <c r="AO32" i="1"/>
  <c r="AP32" i="1"/>
  <c r="AQ32" i="1"/>
  <c r="AR32" i="1"/>
  <c r="AS32" i="1"/>
  <c r="AT32" i="1"/>
  <c r="AU32" i="1"/>
  <c r="AI33" i="1"/>
  <c r="AJ33" i="1"/>
  <c r="AK33" i="1"/>
  <c r="AL33" i="1"/>
  <c r="AM33" i="1"/>
  <c r="AN33" i="1"/>
  <c r="AO33" i="1"/>
  <c r="AP33" i="1"/>
  <c r="AQ33" i="1"/>
  <c r="AR33" i="1"/>
  <c r="AS33" i="1"/>
  <c r="AT33" i="1"/>
  <c r="AU33" i="1"/>
  <c r="AI34" i="1"/>
  <c r="AJ34" i="1"/>
  <c r="AK34" i="1"/>
  <c r="AL34" i="1"/>
  <c r="AM34" i="1"/>
  <c r="AN34" i="1"/>
  <c r="AO34" i="1"/>
  <c r="AP34" i="1"/>
  <c r="AQ34" i="1"/>
  <c r="AR34" i="1"/>
  <c r="AS34" i="1"/>
  <c r="AT34" i="1"/>
  <c r="AU34" i="1"/>
  <c r="AI35" i="1"/>
  <c r="AJ35" i="1"/>
  <c r="AK35" i="1"/>
  <c r="AL35" i="1"/>
  <c r="AM35" i="1"/>
  <c r="AN35" i="1"/>
  <c r="AO35" i="1"/>
  <c r="AP35" i="1"/>
  <c r="AQ35" i="1"/>
  <c r="AR35" i="1"/>
  <c r="AS35" i="1"/>
  <c r="AT35" i="1"/>
  <c r="AU35" i="1"/>
  <c r="AI36" i="1"/>
  <c r="AJ36" i="1"/>
  <c r="AK36" i="1"/>
  <c r="AL36" i="1"/>
  <c r="AM36" i="1"/>
  <c r="AN36" i="1"/>
  <c r="AO36" i="1"/>
  <c r="AP36" i="1"/>
  <c r="AQ36" i="1"/>
  <c r="AR36" i="1"/>
  <c r="AS36" i="1"/>
  <c r="AT36" i="1"/>
  <c r="AU36" i="1"/>
  <c r="AI37" i="1"/>
  <c r="AJ37" i="1"/>
  <c r="AK37" i="1"/>
  <c r="AL37" i="1"/>
  <c r="AM37" i="1"/>
  <c r="AN37" i="1"/>
  <c r="AO37" i="1"/>
  <c r="AP37" i="1"/>
  <c r="AQ37" i="1"/>
  <c r="AR37" i="1"/>
  <c r="AS37" i="1"/>
  <c r="AT37" i="1"/>
  <c r="AU37" i="1"/>
  <c r="AI38" i="1"/>
  <c r="AJ38" i="1"/>
  <c r="AK38" i="1"/>
  <c r="AL38" i="1"/>
  <c r="AM38" i="1"/>
  <c r="AN38" i="1"/>
  <c r="AO38" i="1"/>
  <c r="AP38" i="1"/>
  <c r="AQ38" i="1"/>
  <c r="AR38" i="1"/>
  <c r="AS38" i="1"/>
  <c r="AT38" i="1"/>
  <c r="AU38" i="1"/>
  <c r="AI39" i="1"/>
  <c r="AJ39" i="1"/>
  <c r="AK39" i="1"/>
  <c r="AL39" i="1"/>
  <c r="AM39" i="1"/>
  <c r="AN39" i="1"/>
  <c r="AO39" i="1"/>
  <c r="AP39" i="1"/>
  <c r="AQ39" i="1"/>
  <c r="AR39" i="1"/>
  <c r="AS39" i="1"/>
  <c r="AT39" i="1"/>
  <c r="AU39" i="1"/>
  <c r="AI40" i="1"/>
  <c r="AJ40" i="1"/>
  <c r="AK40" i="1"/>
  <c r="AL40" i="1"/>
  <c r="AM40" i="1"/>
  <c r="AN40" i="1"/>
  <c r="AO40" i="1"/>
  <c r="AP40" i="1"/>
  <c r="AQ40" i="1"/>
  <c r="AR40" i="1"/>
  <c r="AS40" i="1"/>
  <c r="AT40" i="1"/>
  <c r="AU40" i="1"/>
  <c r="AI41" i="1"/>
  <c r="AJ41" i="1"/>
  <c r="AK41" i="1"/>
  <c r="AL41" i="1"/>
  <c r="AM41" i="1"/>
  <c r="AN41" i="1"/>
  <c r="AO41" i="1"/>
  <c r="AP41" i="1"/>
  <c r="AQ41" i="1"/>
  <c r="AR41" i="1"/>
  <c r="AS41" i="1"/>
  <c r="AT41" i="1"/>
  <c r="AU41" i="1"/>
  <c r="AI42" i="1"/>
  <c r="AJ42" i="1"/>
  <c r="AK42" i="1"/>
  <c r="AL42" i="1"/>
  <c r="AM42" i="1"/>
  <c r="AN42" i="1"/>
  <c r="AO42" i="1"/>
  <c r="AP42" i="1"/>
  <c r="AQ42" i="1"/>
  <c r="AR42" i="1"/>
  <c r="AS42" i="1"/>
  <c r="AT42" i="1"/>
  <c r="AU42" i="1"/>
  <c r="AI43" i="1"/>
  <c r="AJ43" i="1"/>
  <c r="AK43" i="1"/>
  <c r="AL43" i="1"/>
  <c r="AM43" i="1"/>
  <c r="AN43" i="1"/>
  <c r="AO43" i="1"/>
  <c r="AP43" i="1"/>
  <c r="AQ43" i="1"/>
  <c r="AR43" i="1"/>
  <c r="AS43" i="1"/>
  <c r="AT43" i="1"/>
  <c r="AU43" i="1"/>
  <c r="AI44" i="1"/>
  <c r="AJ44" i="1"/>
  <c r="AK44" i="1"/>
  <c r="AL44" i="1"/>
  <c r="AM44" i="1"/>
  <c r="AN44" i="1"/>
  <c r="AO44" i="1"/>
  <c r="AP44" i="1"/>
  <c r="AQ44" i="1"/>
  <c r="AR44" i="1"/>
  <c r="AS44" i="1"/>
  <c r="AT44" i="1"/>
  <c r="AU44" i="1"/>
  <c r="AI45" i="1"/>
  <c r="AJ45" i="1"/>
  <c r="AK45" i="1"/>
  <c r="AL45" i="1"/>
  <c r="AM45" i="1"/>
  <c r="AN45" i="1"/>
  <c r="AO45" i="1"/>
  <c r="AP45" i="1"/>
  <c r="AQ45" i="1"/>
  <c r="AR45" i="1"/>
  <c r="AS45" i="1"/>
  <c r="AT45" i="1"/>
  <c r="AU45" i="1"/>
  <c r="AI46" i="1"/>
  <c r="AJ46" i="1"/>
  <c r="AK46" i="1"/>
  <c r="AL46" i="1"/>
  <c r="AM46" i="1"/>
  <c r="AN46" i="1"/>
  <c r="AO46" i="1"/>
  <c r="AP46" i="1"/>
  <c r="AQ46" i="1"/>
  <c r="AR46" i="1"/>
  <c r="AS46" i="1"/>
  <c r="AT46" i="1"/>
  <c r="AU46" i="1"/>
  <c r="AI47" i="1"/>
  <c r="AJ47" i="1"/>
  <c r="AK47" i="1"/>
  <c r="AL47" i="1"/>
  <c r="AM47" i="1"/>
  <c r="AN47" i="1"/>
  <c r="AO47" i="1"/>
  <c r="AP47" i="1"/>
  <c r="AQ47" i="1"/>
  <c r="AR47" i="1"/>
  <c r="AS47" i="1"/>
  <c r="AT47" i="1"/>
  <c r="AU47" i="1"/>
  <c r="AI48" i="1"/>
  <c r="AJ48" i="1"/>
  <c r="AK48" i="1"/>
  <c r="AL48" i="1"/>
  <c r="AM48" i="1"/>
  <c r="AN48" i="1"/>
  <c r="AO48" i="1"/>
  <c r="AP48" i="1"/>
  <c r="AQ48" i="1"/>
  <c r="AR48" i="1"/>
  <c r="AS48" i="1"/>
  <c r="AT48" i="1"/>
  <c r="AU48" i="1"/>
  <c r="AI49" i="1"/>
  <c r="AJ49" i="1"/>
  <c r="AK49" i="1"/>
  <c r="AL49" i="1"/>
  <c r="AM49" i="1"/>
  <c r="AN49" i="1"/>
  <c r="AO49" i="1"/>
  <c r="AP49" i="1"/>
  <c r="AQ49" i="1"/>
  <c r="AR49" i="1"/>
  <c r="AS49" i="1"/>
  <c r="AT49" i="1"/>
  <c r="AU49" i="1"/>
  <c r="AI50" i="1"/>
  <c r="AJ50" i="1"/>
  <c r="AK50" i="1"/>
  <c r="AL50" i="1"/>
  <c r="AM50" i="1"/>
  <c r="AN50" i="1"/>
  <c r="AO50" i="1"/>
  <c r="AP50" i="1"/>
  <c r="AQ50" i="1"/>
  <c r="AR50" i="1"/>
  <c r="AS50" i="1"/>
  <c r="AT50" i="1"/>
  <c r="AU50" i="1"/>
  <c r="AI51" i="1"/>
  <c r="AJ51" i="1"/>
  <c r="AK51" i="1"/>
  <c r="AL51" i="1"/>
  <c r="AM51" i="1"/>
  <c r="AN51" i="1"/>
  <c r="AO51" i="1"/>
  <c r="AP51" i="1"/>
  <c r="AQ51" i="1"/>
  <c r="AR51" i="1"/>
  <c r="AS51" i="1"/>
  <c r="AT51" i="1"/>
  <c r="AU51" i="1"/>
  <c r="AI52" i="1"/>
  <c r="AJ52" i="1"/>
  <c r="AK52" i="1"/>
  <c r="AL52" i="1"/>
  <c r="AM52" i="1"/>
  <c r="AN52" i="1"/>
  <c r="AO52" i="1"/>
  <c r="AP52" i="1"/>
  <c r="AQ52" i="1"/>
  <c r="AR52" i="1"/>
  <c r="AS52" i="1"/>
  <c r="AT52" i="1"/>
  <c r="AU52" i="1"/>
  <c r="AI53" i="1"/>
  <c r="AJ53" i="1"/>
  <c r="AK53" i="1"/>
  <c r="AL53" i="1"/>
  <c r="AM53" i="1"/>
  <c r="AN53" i="1"/>
  <c r="AO53" i="1"/>
  <c r="AP53" i="1"/>
  <c r="AQ53" i="1"/>
  <c r="AR53" i="1"/>
  <c r="AS53" i="1"/>
  <c r="AT53" i="1"/>
  <c r="AU53" i="1"/>
  <c r="AI54" i="1"/>
  <c r="AJ54" i="1"/>
  <c r="AK54" i="1"/>
  <c r="AL54" i="1"/>
  <c r="AM54" i="1"/>
  <c r="AN54" i="1"/>
  <c r="AO54" i="1"/>
  <c r="AP54" i="1"/>
  <c r="AQ54" i="1"/>
  <c r="AR54" i="1"/>
  <c r="AS54" i="1"/>
  <c r="AT54" i="1"/>
  <c r="AU54" i="1"/>
  <c r="AI55" i="1"/>
  <c r="AJ55" i="1"/>
  <c r="AK55" i="1"/>
  <c r="AL55" i="1"/>
  <c r="AM55" i="1"/>
  <c r="AN55" i="1"/>
  <c r="AO55" i="1"/>
  <c r="AP55" i="1"/>
  <c r="AQ55" i="1"/>
  <c r="AR55" i="1"/>
  <c r="AS55" i="1"/>
  <c r="AT55" i="1"/>
  <c r="AU55" i="1"/>
  <c r="AI56" i="1"/>
  <c r="AJ56" i="1"/>
  <c r="AK56" i="1"/>
  <c r="AL56" i="1"/>
  <c r="AM56" i="1"/>
  <c r="AN56" i="1"/>
  <c r="AO56" i="1"/>
  <c r="AP56" i="1"/>
  <c r="AQ56" i="1"/>
  <c r="AR56" i="1"/>
  <c r="AS56" i="1"/>
  <c r="AT56" i="1"/>
  <c r="AU56" i="1"/>
  <c r="AI57" i="1"/>
  <c r="AJ57" i="1"/>
  <c r="AK57" i="1"/>
  <c r="AL57" i="1"/>
  <c r="AM57" i="1"/>
  <c r="AN57" i="1"/>
  <c r="AO57" i="1"/>
  <c r="AP57" i="1"/>
  <c r="AQ57" i="1"/>
  <c r="AR57" i="1"/>
  <c r="AS57" i="1"/>
  <c r="AT57" i="1"/>
  <c r="AU57" i="1"/>
  <c r="AI58" i="1"/>
  <c r="AJ58" i="1"/>
  <c r="AK58" i="1"/>
  <c r="AL58" i="1"/>
  <c r="AM58" i="1"/>
  <c r="AN58" i="1"/>
  <c r="AO58" i="1"/>
  <c r="AP58" i="1"/>
  <c r="AQ58" i="1"/>
  <c r="AR58" i="1"/>
  <c r="AS58" i="1"/>
  <c r="AT58" i="1"/>
  <c r="AU58" i="1"/>
  <c r="AI59" i="1"/>
  <c r="AJ59" i="1"/>
  <c r="AK59" i="1"/>
  <c r="AL59" i="1"/>
  <c r="AM59" i="1"/>
  <c r="AN59" i="1"/>
  <c r="AO59" i="1"/>
  <c r="AP59" i="1"/>
  <c r="AQ59" i="1"/>
  <c r="AR59" i="1"/>
  <c r="AS59" i="1"/>
  <c r="AT59" i="1"/>
  <c r="AU59" i="1"/>
  <c r="AI60" i="1"/>
  <c r="AJ60" i="1"/>
  <c r="AK60" i="1"/>
  <c r="AL60" i="1"/>
  <c r="AM60" i="1"/>
  <c r="AN60" i="1"/>
  <c r="AO60" i="1"/>
  <c r="AP60" i="1"/>
  <c r="AQ60" i="1"/>
  <c r="AR60" i="1"/>
  <c r="AS60" i="1"/>
  <c r="AT60" i="1"/>
  <c r="AU60" i="1"/>
  <c r="AI61" i="1"/>
  <c r="AJ61" i="1"/>
  <c r="AK61" i="1"/>
  <c r="AL61" i="1"/>
  <c r="AM61" i="1"/>
  <c r="AN61" i="1"/>
  <c r="AO61" i="1"/>
  <c r="AP61" i="1"/>
  <c r="AQ61" i="1"/>
  <c r="AR61" i="1"/>
  <c r="AS61" i="1"/>
  <c r="AT61" i="1"/>
  <c r="AU61" i="1"/>
  <c r="AI62" i="1"/>
  <c r="AJ62" i="1"/>
  <c r="AK62" i="1"/>
  <c r="AL62" i="1"/>
  <c r="AM62" i="1"/>
  <c r="AN62" i="1"/>
  <c r="AO62" i="1"/>
  <c r="AP62" i="1"/>
  <c r="AQ62" i="1"/>
  <c r="AR62" i="1"/>
  <c r="AS62" i="1"/>
  <c r="AT62" i="1"/>
  <c r="AU62" i="1"/>
  <c r="AI63" i="1"/>
  <c r="AJ63" i="1"/>
  <c r="AK63" i="1"/>
  <c r="AL63" i="1"/>
  <c r="AM63" i="1"/>
  <c r="AN63" i="1"/>
  <c r="AO63" i="1"/>
  <c r="AP63" i="1"/>
  <c r="AQ63" i="1"/>
  <c r="AR63" i="1"/>
  <c r="AS63" i="1"/>
  <c r="AT63" i="1"/>
  <c r="AU63" i="1"/>
  <c r="AI64" i="1"/>
  <c r="AJ64" i="1"/>
  <c r="AK64" i="1"/>
  <c r="AL64" i="1"/>
  <c r="AM64" i="1"/>
  <c r="AN64" i="1"/>
  <c r="AO64" i="1"/>
  <c r="AP64" i="1"/>
  <c r="AQ64" i="1"/>
  <c r="AR64" i="1"/>
  <c r="AS64" i="1"/>
  <c r="AT64" i="1"/>
  <c r="AU64" i="1"/>
  <c r="AI65" i="1"/>
  <c r="AJ65" i="1"/>
  <c r="AK65" i="1"/>
  <c r="AL65" i="1"/>
  <c r="AM65" i="1"/>
  <c r="AN65" i="1"/>
  <c r="AO65" i="1"/>
  <c r="AP65" i="1"/>
  <c r="AQ65" i="1"/>
  <c r="AR65" i="1"/>
  <c r="AS65" i="1"/>
  <c r="AT65" i="1"/>
  <c r="AU65" i="1"/>
  <c r="AI66" i="1"/>
  <c r="AJ66" i="1"/>
  <c r="AK66" i="1"/>
  <c r="AL66" i="1"/>
  <c r="AM66" i="1"/>
  <c r="AN66" i="1"/>
  <c r="AO66" i="1"/>
  <c r="AP66" i="1"/>
  <c r="AQ66" i="1"/>
  <c r="AR66" i="1"/>
  <c r="AS66" i="1"/>
  <c r="AT66" i="1"/>
  <c r="AU66" i="1"/>
  <c r="AI67" i="1"/>
  <c r="AJ67" i="1"/>
  <c r="AK67" i="1"/>
  <c r="AL67" i="1"/>
  <c r="AM67" i="1"/>
  <c r="AN67" i="1"/>
  <c r="AO67" i="1"/>
  <c r="AP67" i="1"/>
  <c r="AQ67" i="1"/>
  <c r="AR67" i="1"/>
  <c r="AS67" i="1"/>
  <c r="AT67" i="1"/>
  <c r="AU67" i="1"/>
  <c r="AI68" i="1"/>
  <c r="AJ68" i="1"/>
  <c r="AK68" i="1"/>
  <c r="AL68" i="1"/>
  <c r="AM68" i="1"/>
  <c r="AN68" i="1"/>
  <c r="AO68" i="1"/>
  <c r="AP68" i="1"/>
  <c r="AQ68" i="1"/>
  <c r="AR68" i="1"/>
  <c r="AS68" i="1"/>
  <c r="AT68" i="1"/>
  <c r="AU68" i="1"/>
  <c r="AI69" i="1"/>
  <c r="AJ69" i="1"/>
  <c r="AK69" i="1"/>
  <c r="AL69" i="1"/>
  <c r="AM69" i="1"/>
  <c r="AN69" i="1"/>
  <c r="AO69" i="1"/>
  <c r="AP69" i="1"/>
  <c r="AQ69" i="1"/>
  <c r="AR69" i="1"/>
  <c r="AS69" i="1"/>
  <c r="AT69" i="1"/>
  <c r="AU69" i="1"/>
  <c r="AI70" i="1"/>
  <c r="AJ70" i="1"/>
  <c r="AK70" i="1"/>
  <c r="AL70" i="1"/>
  <c r="AM70" i="1"/>
  <c r="AN70" i="1"/>
  <c r="AO70" i="1"/>
  <c r="AP70" i="1"/>
  <c r="AQ70" i="1"/>
  <c r="AR70" i="1"/>
  <c r="AS70" i="1"/>
  <c r="AT70" i="1"/>
  <c r="AU70" i="1"/>
  <c r="AI71" i="1"/>
  <c r="AJ71" i="1"/>
  <c r="AK71" i="1"/>
  <c r="AL71" i="1"/>
  <c r="AM71" i="1"/>
  <c r="AN71" i="1"/>
  <c r="AO71" i="1"/>
  <c r="AP71" i="1"/>
  <c r="AQ71" i="1"/>
  <c r="AR71" i="1"/>
  <c r="AS71" i="1"/>
  <c r="AT71" i="1"/>
  <c r="AU71" i="1"/>
  <c r="AI72" i="1"/>
  <c r="AJ72" i="1"/>
  <c r="AK72" i="1"/>
  <c r="AL72" i="1"/>
  <c r="AM72" i="1"/>
  <c r="AN72" i="1"/>
  <c r="AO72" i="1"/>
  <c r="AP72" i="1"/>
  <c r="AQ72" i="1"/>
  <c r="AR72" i="1"/>
  <c r="AS72" i="1"/>
  <c r="AT72" i="1"/>
  <c r="AU72" i="1"/>
  <c r="AI73" i="1"/>
  <c r="AJ73" i="1"/>
  <c r="AK73" i="1"/>
  <c r="AL73" i="1"/>
  <c r="AM73" i="1"/>
  <c r="AN73" i="1"/>
  <c r="AO73" i="1"/>
  <c r="AP73" i="1"/>
  <c r="AQ73" i="1"/>
  <c r="AR73" i="1"/>
  <c r="AS73" i="1"/>
  <c r="AT73" i="1"/>
  <c r="AU73" i="1"/>
  <c r="AI74" i="1"/>
  <c r="AJ74" i="1"/>
  <c r="AK74" i="1"/>
  <c r="AL74" i="1"/>
  <c r="AM74" i="1"/>
  <c r="AN74" i="1"/>
  <c r="AO74" i="1"/>
  <c r="AP74" i="1"/>
  <c r="AQ74" i="1"/>
  <c r="AR74" i="1"/>
  <c r="AS74" i="1"/>
  <c r="AT74" i="1"/>
  <c r="AU74" i="1"/>
  <c r="AI75" i="1"/>
  <c r="AJ75" i="1"/>
  <c r="AK75" i="1"/>
  <c r="AL75" i="1"/>
  <c r="AM75" i="1"/>
  <c r="AN75" i="1"/>
  <c r="AO75" i="1"/>
  <c r="AP75" i="1"/>
  <c r="AQ75" i="1"/>
  <c r="AR75" i="1"/>
  <c r="AS75" i="1"/>
  <c r="AT75" i="1"/>
  <c r="AU75" i="1"/>
  <c r="AI76" i="1"/>
  <c r="AJ76" i="1"/>
  <c r="AK76" i="1"/>
  <c r="AL76" i="1"/>
  <c r="AM76" i="1"/>
  <c r="AN76" i="1"/>
  <c r="AO76" i="1"/>
  <c r="AP76" i="1"/>
  <c r="AQ76" i="1"/>
  <c r="AR76" i="1"/>
  <c r="AS76" i="1"/>
  <c r="AT76" i="1"/>
  <c r="AU76" i="1"/>
  <c r="AI77" i="1"/>
  <c r="AJ77" i="1"/>
  <c r="AK77" i="1"/>
  <c r="AL77" i="1"/>
  <c r="AM77" i="1"/>
  <c r="AN77" i="1"/>
  <c r="AO77" i="1"/>
  <c r="AP77" i="1"/>
  <c r="AQ77" i="1"/>
  <c r="AR77" i="1"/>
  <c r="AS77" i="1"/>
  <c r="AT77" i="1"/>
  <c r="AU77" i="1"/>
  <c r="AI78" i="1"/>
  <c r="AJ78" i="1"/>
  <c r="AK78" i="1"/>
  <c r="AL78" i="1"/>
  <c r="AM78" i="1"/>
  <c r="AN78" i="1"/>
  <c r="AO78" i="1"/>
  <c r="AP78" i="1"/>
  <c r="AQ78" i="1"/>
  <c r="AR78" i="1"/>
  <c r="AS78" i="1"/>
  <c r="AT78" i="1"/>
  <c r="AU78" i="1"/>
  <c r="AI79" i="1"/>
  <c r="AJ79" i="1"/>
  <c r="AK79" i="1"/>
  <c r="AL79" i="1"/>
  <c r="AM79" i="1"/>
  <c r="AN79" i="1"/>
  <c r="AO79" i="1"/>
  <c r="AP79" i="1"/>
  <c r="AQ79" i="1"/>
  <c r="AR79" i="1"/>
  <c r="AS79" i="1"/>
  <c r="AT79" i="1"/>
  <c r="AU79" i="1"/>
  <c r="AI80" i="1"/>
  <c r="AJ80" i="1"/>
  <c r="AK80" i="1"/>
  <c r="AL80" i="1"/>
  <c r="AM80" i="1"/>
  <c r="AN80" i="1"/>
  <c r="AO80" i="1"/>
  <c r="AP80" i="1"/>
  <c r="AQ80" i="1"/>
  <c r="AR80" i="1"/>
  <c r="AS80" i="1"/>
  <c r="AT80" i="1"/>
  <c r="AU80" i="1"/>
  <c r="AI81" i="1"/>
  <c r="AJ81" i="1"/>
  <c r="AK81" i="1"/>
  <c r="AL81" i="1"/>
  <c r="AM81" i="1"/>
  <c r="AN81" i="1"/>
  <c r="AO81" i="1"/>
  <c r="AP81" i="1"/>
  <c r="AQ81" i="1"/>
  <c r="AR81" i="1"/>
  <c r="AS81" i="1"/>
  <c r="AT81" i="1"/>
  <c r="AU81" i="1"/>
  <c r="AI82" i="1"/>
  <c r="AJ82" i="1"/>
  <c r="AK82" i="1"/>
  <c r="AL82" i="1"/>
  <c r="AM82" i="1"/>
  <c r="AN82" i="1"/>
  <c r="AO82" i="1"/>
  <c r="AP82" i="1"/>
  <c r="AQ82" i="1"/>
  <c r="AR82" i="1"/>
  <c r="AS82" i="1"/>
  <c r="AT82" i="1"/>
  <c r="AU82" i="1"/>
  <c r="AI83" i="1"/>
  <c r="AJ83" i="1"/>
  <c r="AK83" i="1"/>
  <c r="AL83" i="1"/>
  <c r="AM83" i="1"/>
  <c r="AN83" i="1"/>
  <c r="AO83" i="1"/>
  <c r="AP83" i="1"/>
  <c r="AQ83" i="1"/>
  <c r="AR83" i="1"/>
  <c r="AS83" i="1"/>
  <c r="AT83" i="1"/>
  <c r="AU83" i="1"/>
  <c r="AI84" i="1"/>
  <c r="AJ84" i="1"/>
  <c r="AK84" i="1"/>
  <c r="AL84" i="1"/>
  <c r="AM84" i="1"/>
  <c r="AN84" i="1"/>
  <c r="AO84" i="1"/>
  <c r="AP84" i="1"/>
  <c r="AQ84" i="1"/>
  <c r="AR84" i="1"/>
  <c r="AS84" i="1"/>
  <c r="AT84" i="1"/>
  <c r="AU84" i="1"/>
  <c r="AI85" i="1"/>
  <c r="AJ85" i="1"/>
  <c r="AK85" i="1"/>
  <c r="AL85" i="1"/>
  <c r="AM85" i="1"/>
  <c r="AN85" i="1"/>
  <c r="AO85" i="1"/>
  <c r="AP85" i="1"/>
  <c r="AQ85" i="1"/>
  <c r="AR85" i="1"/>
  <c r="AS85" i="1"/>
  <c r="AT85" i="1"/>
  <c r="AU85" i="1"/>
  <c r="AI86" i="1"/>
  <c r="AJ86" i="1"/>
  <c r="AK86" i="1"/>
  <c r="AL86" i="1"/>
  <c r="AM86" i="1"/>
  <c r="AN86" i="1"/>
  <c r="AO86" i="1"/>
  <c r="AP86" i="1"/>
  <c r="AQ86" i="1"/>
  <c r="AR86" i="1"/>
  <c r="AS86" i="1"/>
  <c r="AT86" i="1"/>
  <c r="AU86" i="1"/>
  <c r="AI87" i="1"/>
  <c r="AJ87" i="1"/>
  <c r="AK87" i="1"/>
  <c r="AL87" i="1"/>
  <c r="AM87" i="1"/>
  <c r="AN87" i="1"/>
  <c r="AO87" i="1"/>
  <c r="AP87" i="1"/>
  <c r="AQ87" i="1"/>
  <c r="AR87" i="1"/>
  <c r="AS87" i="1"/>
  <c r="AT87" i="1"/>
  <c r="AU87" i="1"/>
  <c r="AI88" i="1"/>
  <c r="AJ88" i="1"/>
  <c r="AK88" i="1"/>
  <c r="AL88" i="1"/>
  <c r="AM88" i="1"/>
  <c r="AN88" i="1"/>
  <c r="AO88" i="1"/>
  <c r="AP88" i="1"/>
  <c r="AQ88" i="1"/>
  <c r="AR88" i="1"/>
  <c r="AS88" i="1"/>
  <c r="AT88" i="1"/>
  <c r="AU88" i="1"/>
  <c r="AI89" i="1"/>
  <c r="AJ89" i="1"/>
  <c r="AK89" i="1"/>
  <c r="AL89" i="1"/>
  <c r="AM89" i="1"/>
  <c r="AN89" i="1"/>
  <c r="AO89" i="1"/>
  <c r="AP89" i="1"/>
  <c r="AQ89" i="1"/>
  <c r="AR89" i="1"/>
  <c r="AS89" i="1"/>
  <c r="AT89" i="1"/>
  <c r="AU89" i="1"/>
  <c r="AI90" i="1"/>
  <c r="AJ90" i="1"/>
  <c r="AK90" i="1"/>
  <c r="AL90" i="1"/>
  <c r="AM90" i="1"/>
  <c r="AN90" i="1"/>
  <c r="AO90" i="1"/>
  <c r="AP90" i="1"/>
  <c r="AQ90" i="1"/>
  <c r="AR90" i="1"/>
  <c r="AS90" i="1"/>
  <c r="AT90" i="1"/>
  <c r="AU90" i="1"/>
  <c r="AI91" i="1"/>
  <c r="AJ91" i="1"/>
  <c r="AK91" i="1"/>
  <c r="AL91" i="1"/>
  <c r="AM91" i="1"/>
  <c r="AN91" i="1"/>
  <c r="AO91" i="1"/>
  <c r="AP91" i="1"/>
  <c r="AQ91" i="1"/>
  <c r="AR91" i="1"/>
  <c r="AS91" i="1"/>
  <c r="AT91" i="1"/>
  <c r="AU91" i="1"/>
  <c r="AI92" i="1"/>
  <c r="AJ92" i="1"/>
  <c r="AK92" i="1"/>
  <c r="AL92" i="1"/>
  <c r="AM92" i="1"/>
  <c r="AN92" i="1"/>
  <c r="AO92" i="1"/>
  <c r="AP92" i="1"/>
  <c r="AQ92" i="1"/>
  <c r="AR92" i="1"/>
  <c r="AS92" i="1"/>
  <c r="AT92" i="1"/>
  <c r="AU92" i="1"/>
  <c r="AI93" i="1"/>
  <c r="AJ93" i="1"/>
  <c r="AK93" i="1"/>
  <c r="AL93" i="1"/>
  <c r="AM93" i="1"/>
  <c r="AN93" i="1"/>
  <c r="AO93" i="1"/>
  <c r="AP93" i="1"/>
  <c r="AQ93" i="1"/>
  <c r="AR93" i="1"/>
  <c r="AS93" i="1"/>
  <c r="AT93" i="1"/>
  <c r="AU93" i="1"/>
  <c r="AI94" i="1"/>
  <c r="AJ94" i="1"/>
  <c r="AK94" i="1"/>
  <c r="AL94" i="1"/>
  <c r="AM94" i="1"/>
  <c r="AN94" i="1"/>
  <c r="AO94" i="1"/>
  <c r="AP94" i="1"/>
  <c r="AQ94" i="1"/>
  <c r="AR94" i="1"/>
  <c r="AS94" i="1"/>
  <c r="AT94" i="1"/>
  <c r="AU94" i="1"/>
  <c r="AI95" i="1"/>
  <c r="AJ95" i="1"/>
  <c r="AK95" i="1"/>
  <c r="AL95" i="1"/>
  <c r="AM95" i="1"/>
  <c r="AN95" i="1"/>
  <c r="AO95" i="1"/>
  <c r="AP95" i="1"/>
  <c r="AQ95" i="1"/>
  <c r="AR95" i="1"/>
  <c r="AS95" i="1"/>
  <c r="AT95" i="1"/>
  <c r="AU95" i="1"/>
  <c r="AI96" i="1"/>
  <c r="AJ96" i="1"/>
  <c r="AK96" i="1"/>
  <c r="AL96" i="1"/>
  <c r="AM96" i="1"/>
  <c r="AN96" i="1"/>
  <c r="AO96" i="1"/>
  <c r="AP96" i="1"/>
  <c r="AQ96" i="1"/>
  <c r="AR96" i="1"/>
  <c r="AS96" i="1"/>
  <c r="AT96" i="1"/>
  <c r="AU96" i="1"/>
  <c r="AI97" i="1"/>
  <c r="AJ97" i="1"/>
  <c r="AK97" i="1"/>
  <c r="AL97" i="1"/>
  <c r="AM97" i="1"/>
  <c r="AN97" i="1"/>
  <c r="AO97" i="1"/>
  <c r="AP97" i="1"/>
  <c r="AQ97" i="1"/>
  <c r="AR97" i="1"/>
  <c r="AS97" i="1"/>
  <c r="AT97" i="1"/>
  <c r="AU97" i="1"/>
  <c r="AI98" i="1"/>
  <c r="AJ98" i="1"/>
  <c r="AK98" i="1"/>
  <c r="AL98" i="1"/>
  <c r="AM98" i="1"/>
  <c r="AN98" i="1"/>
  <c r="AO98" i="1"/>
  <c r="AP98" i="1"/>
  <c r="AQ98" i="1"/>
  <c r="AR98" i="1"/>
  <c r="AS98" i="1"/>
  <c r="AT98" i="1"/>
  <c r="AU98" i="1"/>
  <c r="AI99" i="1"/>
  <c r="AJ99" i="1"/>
  <c r="AK99" i="1"/>
  <c r="AL99" i="1"/>
  <c r="AM99" i="1"/>
  <c r="AN99" i="1"/>
  <c r="AO99" i="1"/>
  <c r="AP99" i="1"/>
  <c r="AQ99" i="1"/>
  <c r="AR99" i="1"/>
  <c r="AS99" i="1"/>
  <c r="AT99" i="1"/>
  <c r="AU99" i="1"/>
  <c r="AI100" i="1"/>
  <c r="AJ100" i="1"/>
  <c r="AK100" i="1"/>
  <c r="AL100" i="1"/>
  <c r="AM100" i="1"/>
  <c r="AN100" i="1"/>
  <c r="AO100" i="1"/>
  <c r="AP100" i="1"/>
  <c r="AQ100" i="1"/>
  <c r="AR100" i="1"/>
  <c r="AS100" i="1"/>
  <c r="AT100" i="1"/>
  <c r="AU100" i="1"/>
  <c r="AI101" i="1"/>
  <c r="AJ101" i="1"/>
  <c r="AK101" i="1"/>
  <c r="AL101" i="1"/>
  <c r="AM101" i="1"/>
  <c r="AN101" i="1"/>
  <c r="AO101" i="1"/>
  <c r="AP101" i="1"/>
  <c r="AQ101" i="1"/>
  <c r="AR101" i="1"/>
  <c r="AS101" i="1"/>
  <c r="AT101" i="1"/>
  <c r="AU101" i="1"/>
  <c r="AI102" i="1"/>
  <c r="AJ102" i="1"/>
  <c r="AK102" i="1"/>
  <c r="AL102" i="1"/>
  <c r="AM102" i="1"/>
  <c r="AN102" i="1"/>
  <c r="AO102" i="1"/>
  <c r="AP102" i="1"/>
  <c r="AQ102" i="1"/>
  <c r="AR102" i="1"/>
  <c r="AS102" i="1"/>
  <c r="AT102" i="1"/>
  <c r="AU102" i="1"/>
  <c r="AI103" i="1"/>
  <c r="AJ103" i="1"/>
  <c r="AK103" i="1"/>
  <c r="AL103" i="1"/>
  <c r="AM103" i="1"/>
  <c r="AN103" i="1"/>
  <c r="AO103" i="1"/>
  <c r="AP103" i="1"/>
  <c r="AQ103" i="1"/>
  <c r="AR103" i="1"/>
  <c r="AS103" i="1"/>
  <c r="AT103" i="1"/>
  <c r="AU103" i="1"/>
  <c r="AI104" i="1"/>
  <c r="AJ104" i="1"/>
  <c r="AK104" i="1"/>
  <c r="AL104" i="1"/>
  <c r="AM104" i="1"/>
  <c r="AN104" i="1"/>
  <c r="AO104" i="1"/>
  <c r="AP104" i="1"/>
  <c r="AQ104" i="1"/>
  <c r="AR104" i="1"/>
  <c r="AS104" i="1"/>
  <c r="AT104" i="1"/>
  <c r="AU104" i="1"/>
  <c r="AI105" i="1"/>
  <c r="AJ105" i="1"/>
  <c r="AK105" i="1"/>
  <c r="AL105" i="1"/>
  <c r="AM105" i="1"/>
  <c r="AN105" i="1"/>
  <c r="AO105" i="1"/>
  <c r="AP105" i="1"/>
  <c r="AQ105" i="1"/>
  <c r="AR105" i="1"/>
  <c r="AS105" i="1"/>
  <c r="AT105" i="1"/>
  <c r="AU105" i="1"/>
  <c r="P6" i="1"/>
  <c r="W6" i="1"/>
  <c r="AD6" i="1"/>
  <c r="AE6" i="1"/>
  <c r="P7" i="1"/>
  <c r="W7" i="1"/>
  <c r="AD7" i="1"/>
  <c r="AE7" i="1"/>
  <c r="P8" i="1"/>
  <c r="W8" i="1"/>
  <c r="AD8" i="1"/>
  <c r="AE8" i="1"/>
  <c r="P9" i="1"/>
  <c r="W9" i="1"/>
  <c r="AD9" i="1"/>
  <c r="AE9" i="1"/>
  <c r="P10" i="1"/>
  <c r="W10" i="1"/>
  <c r="AD10" i="1"/>
  <c r="AE10" i="1"/>
  <c r="P11" i="1"/>
  <c r="W11" i="1"/>
  <c r="AD11" i="1"/>
  <c r="AE11" i="1"/>
  <c r="P12" i="1"/>
  <c r="W12" i="1"/>
  <c r="AD12" i="1"/>
  <c r="AE12" i="1"/>
  <c r="P13" i="1"/>
  <c r="W13" i="1"/>
  <c r="AD13" i="1"/>
  <c r="AE13" i="1"/>
  <c r="P14" i="1"/>
  <c r="W14" i="1"/>
  <c r="AD14" i="1"/>
  <c r="AE14" i="1"/>
  <c r="P15" i="1"/>
  <c r="W15" i="1"/>
  <c r="AD15" i="1"/>
  <c r="AE15" i="1"/>
  <c r="P16" i="1"/>
  <c r="W16" i="1"/>
  <c r="AD16" i="1"/>
  <c r="AE16" i="1"/>
  <c r="P17" i="1"/>
  <c r="W17" i="1"/>
  <c r="AD17" i="1"/>
  <c r="AE17" i="1"/>
  <c r="P18" i="1"/>
  <c r="W18" i="1"/>
  <c r="AD18" i="1"/>
  <c r="AE18" i="1"/>
  <c r="P19" i="1"/>
  <c r="W19" i="1"/>
  <c r="AD19" i="1"/>
  <c r="AE19" i="1"/>
  <c r="P20" i="1"/>
  <c r="W20" i="1"/>
  <c r="AD20" i="1"/>
  <c r="AE20" i="1"/>
  <c r="P21" i="1"/>
  <c r="W21" i="1"/>
  <c r="AD21" i="1"/>
  <c r="AE21" i="1"/>
  <c r="P22" i="1"/>
  <c r="W22" i="1"/>
  <c r="AD22" i="1"/>
  <c r="AE22" i="1"/>
  <c r="P23" i="1"/>
  <c r="W23" i="1"/>
  <c r="AD23" i="1"/>
  <c r="AE23" i="1"/>
  <c r="P24" i="1"/>
  <c r="W24" i="1"/>
  <c r="AD24" i="1"/>
  <c r="AE24" i="1"/>
  <c r="P25" i="1"/>
  <c r="W25" i="1"/>
  <c r="AD25" i="1"/>
  <c r="AE25" i="1"/>
  <c r="P26" i="1"/>
  <c r="W26" i="1"/>
  <c r="AD26" i="1"/>
  <c r="AE26" i="1"/>
  <c r="P27" i="1"/>
  <c r="W27" i="1"/>
  <c r="AD27" i="1"/>
  <c r="AE27" i="1"/>
  <c r="P28" i="1"/>
  <c r="W28" i="1"/>
  <c r="AD28" i="1"/>
  <c r="AE28" i="1"/>
  <c r="P29" i="1"/>
  <c r="W29" i="1"/>
  <c r="AD29" i="1"/>
  <c r="AE29" i="1"/>
  <c r="P30" i="1"/>
  <c r="W30" i="1"/>
  <c r="AD30" i="1"/>
  <c r="AE30" i="1"/>
  <c r="P31" i="1"/>
  <c r="W31" i="1"/>
  <c r="AD31" i="1"/>
  <c r="AE31" i="1"/>
  <c r="P32" i="1"/>
  <c r="W32" i="1"/>
  <c r="AD32" i="1"/>
  <c r="AE32" i="1"/>
  <c r="P33" i="1"/>
  <c r="W33" i="1"/>
  <c r="AD33" i="1"/>
  <c r="AE33" i="1"/>
  <c r="P34" i="1"/>
  <c r="W34" i="1"/>
  <c r="AD34" i="1"/>
  <c r="AE34" i="1"/>
  <c r="P35" i="1"/>
  <c r="W35" i="1"/>
  <c r="AD35" i="1"/>
  <c r="AE35" i="1"/>
  <c r="P36" i="1"/>
  <c r="W36" i="1"/>
  <c r="AD36" i="1"/>
  <c r="AE36" i="1"/>
  <c r="P37" i="1"/>
  <c r="W37" i="1"/>
  <c r="AD37" i="1"/>
  <c r="AE37" i="1"/>
  <c r="P38" i="1"/>
  <c r="W38" i="1"/>
  <c r="AD38" i="1"/>
  <c r="AE38" i="1"/>
  <c r="P39" i="1"/>
  <c r="W39" i="1"/>
  <c r="AD39" i="1"/>
  <c r="AE39" i="1"/>
  <c r="P40" i="1"/>
  <c r="W40" i="1"/>
  <c r="AD40" i="1"/>
  <c r="AE40" i="1"/>
  <c r="P41" i="1"/>
  <c r="W41" i="1"/>
  <c r="AD41" i="1"/>
  <c r="AE41" i="1"/>
  <c r="P42" i="1"/>
  <c r="W42" i="1"/>
  <c r="AD42" i="1"/>
  <c r="AE42" i="1"/>
  <c r="P43" i="1"/>
  <c r="W43" i="1"/>
  <c r="AD43" i="1"/>
  <c r="AE43" i="1"/>
  <c r="P44" i="1"/>
  <c r="W44" i="1"/>
  <c r="AD44" i="1"/>
  <c r="AE44" i="1"/>
  <c r="P45" i="1"/>
  <c r="W45" i="1"/>
  <c r="AD45" i="1"/>
  <c r="AE45" i="1"/>
  <c r="P46" i="1"/>
  <c r="W46" i="1"/>
  <c r="AD46" i="1"/>
  <c r="AE46" i="1"/>
  <c r="P47" i="1"/>
  <c r="W47" i="1"/>
  <c r="AD47" i="1"/>
  <c r="AE47" i="1"/>
  <c r="P48" i="1"/>
  <c r="W48" i="1"/>
  <c r="AD48" i="1"/>
  <c r="AE48" i="1"/>
  <c r="P49" i="1"/>
  <c r="W49" i="1"/>
  <c r="AD49" i="1"/>
  <c r="AE49" i="1"/>
  <c r="P50" i="1"/>
  <c r="W50" i="1"/>
  <c r="AD50" i="1"/>
  <c r="AE50" i="1"/>
  <c r="P51" i="1"/>
  <c r="W51" i="1"/>
  <c r="AD51" i="1"/>
  <c r="AE51" i="1"/>
  <c r="P52" i="1"/>
  <c r="W52" i="1"/>
  <c r="AD52" i="1"/>
  <c r="AE52" i="1"/>
  <c r="P53" i="1"/>
  <c r="W53" i="1"/>
  <c r="AD53" i="1"/>
  <c r="AE53" i="1"/>
  <c r="P54" i="1"/>
  <c r="W54" i="1"/>
  <c r="AD54" i="1"/>
  <c r="AE54" i="1"/>
  <c r="P55" i="1"/>
  <c r="W55" i="1"/>
  <c r="AD55" i="1"/>
  <c r="AE55" i="1"/>
  <c r="P56" i="1"/>
  <c r="W56" i="1"/>
  <c r="AD56" i="1"/>
  <c r="AE56" i="1"/>
  <c r="P57" i="1"/>
  <c r="W57" i="1"/>
  <c r="AD57" i="1"/>
  <c r="AE57" i="1"/>
  <c r="P58" i="1"/>
  <c r="W58" i="1"/>
  <c r="AD58" i="1"/>
  <c r="AE58" i="1"/>
  <c r="P59" i="1"/>
  <c r="W59" i="1"/>
  <c r="AD59" i="1"/>
  <c r="AE59" i="1"/>
  <c r="P60" i="1"/>
  <c r="W60" i="1"/>
  <c r="AD60" i="1"/>
  <c r="AE60" i="1"/>
  <c r="P61" i="1"/>
  <c r="W61" i="1"/>
  <c r="AD61" i="1"/>
  <c r="AE61" i="1"/>
  <c r="P62" i="1"/>
  <c r="W62" i="1"/>
  <c r="AD62" i="1"/>
  <c r="AE62" i="1"/>
  <c r="P63" i="1"/>
  <c r="W63" i="1"/>
  <c r="AD63" i="1"/>
  <c r="AE63" i="1"/>
  <c r="P64" i="1"/>
  <c r="W64" i="1"/>
  <c r="AD64" i="1"/>
  <c r="AE64" i="1"/>
  <c r="P65" i="1"/>
  <c r="W65" i="1"/>
  <c r="AD65" i="1"/>
  <c r="AE65" i="1"/>
  <c r="P66" i="1"/>
  <c r="W66" i="1"/>
  <c r="AD66" i="1"/>
  <c r="AE66" i="1"/>
  <c r="P67" i="1"/>
  <c r="W67" i="1"/>
  <c r="AD67" i="1"/>
  <c r="AE67" i="1"/>
  <c r="P68" i="1"/>
  <c r="W68" i="1"/>
  <c r="AD68" i="1"/>
  <c r="AE68" i="1"/>
  <c r="P69" i="1"/>
  <c r="W69" i="1"/>
  <c r="AD69" i="1"/>
  <c r="AE69" i="1"/>
  <c r="P70" i="1"/>
  <c r="W70" i="1"/>
  <c r="AD70" i="1"/>
  <c r="AE70" i="1"/>
  <c r="P71" i="1"/>
  <c r="W71" i="1"/>
  <c r="AD71" i="1"/>
  <c r="AE71" i="1"/>
  <c r="P72" i="1"/>
  <c r="W72" i="1"/>
  <c r="AD72" i="1"/>
  <c r="AE72" i="1"/>
  <c r="P73" i="1"/>
  <c r="W73" i="1"/>
  <c r="AD73" i="1"/>
  <c r="AE73" i="1"/>
  <c r="P74" i="1"/>
  <c r="W74" i="1"/>
  <c r="AD74" i="1"/>
  <c r="AE74" i="1"/>
  <c r="P75" i="1"/>
  <c r="W75" i="1"/>
  <c r="AD75" i="1"/>
  <c r="AE75" i="1"/>
  <c r="P76" i="1"/>
  <c r="W76" i="1"/>
  <c r="AD76" i="1"/>
  <c r="AE76" i="1"/>
  <c r="P77" i="1"/>
  <c r="W77" i="1"/>
  <c r="AD77" i="1"/>
  <c r="AE77" i="1"/>
  <c r="P78" i="1"/>
  <c r="W78" i="1"/>
  <c r="AD78" i="1"/>
  <c r="AE78" i="1"/>
  <c r="P79" i="1"/>
  <c r="W79" i="1"/>
  <c r="AD79" i="1"/>
  <c r="AE79" i="1"/>
  <c r="P80" i="1"/>
  <c r="W80" i="1"/>
  <c r="AD80" i="1"/>
  <c r="AE80" i="1"/>
  <c r="P81" i="1"/>
  <c r="W81" i="1"/>
  <c r="AD81" i="1"/>
  <c r="AE81" i="1"/>
  <c r="P82" i="1"/>
  <c r="W82" i="1"/>
  <c r="AD82" i="1"/>
  <c r="AE82" i="1"/>
  <c r="P83" i="1"/>
  <c r="W83" i="1"/>
  <c r="AD83" i="1"/>
  <c r="AE83" i="1"/>
  <c r="P84" i="1"/>
  <c r="W84" i="1"/>
  <c r="AD84" i="1"/>
  <c r="AE84" i="1"/>
  <c r="P85" i="1"/>
  <c r="W85" i="1"/>
  <c r="AD85" i="1"/>
  <c r="AE85" i="1"/>
  <c r="P86" i="1"/>
  <c r="W86" i="1"/>
  <c r="AD86" i="1"/>
  <c r="AE86" i="1"/>
  <c r="P87" i="1"/>
  <c r="W87" i="1"/>
  <c r="AD87" i="1"/>
  <c r="AE87" i="1"/>
  <c r="P88" i="1"/>
  <c r="W88" i="1"/>
  <c r="AD88" i="1"/>
  <c r="AE88" i="1"/>
  <c r="P89" i="1"/>
  <c r="W89" i="1"/>
  <c r="AD89" i="1"/>
  <c r="AE89" i="1"/>
  <c r="P90" i="1"/>
  <c r="W90" i="1"/>
  <c r="AD90" i="1"/>
  <c r="AE90" i="1"/>
  <c r="P91" i="1"/>
  <c r="W91" i="1"/>
  <c r="AD91" i="1"/>
  <c r="AE91" i="1"/>
  <c r="P92" i="1"/>
  <c r="W92" i="1"/>
  <c r="AD92" i="1"/>
  <c r="AE92" i="1"/>
  <c r="P93" i="1"/>
  <c r="W93" i="1"/>
  <c r="AD93" i="1"/>
  <c r="AE93" i="1"/>
  <c r="P94" i="1"/>
  <c r="W94" i="1"/>
  <c r="AD94" i="1"/>
  <c r="AE94" i="1"/>
  <c r="P95" i="1"/>
  <c r="W95" i="1"/>
  <c r="AD95" i="1"/>
  <c r="AE95" i="1"/>
  <c r="P96" i="1"/>
  <c r="W96" i="1"/>
  <c r="AD96" i="1"/>
  <c r="AE96" i="1"/>
  <c r="P97" i="1"/>
  <c r="W97" i="1"/>
  <c r="AD97" i="1"/>
  <c r="AE97" i="1"/>
  <c r="P98" i="1"/>
  <c r="W98" i="1"/>
  <c r="AD98" i="1"/>
  <c r="AE98" i="1"/>
  <c r="P99" i="1"/>
  <c r="W99" i="1"/>
  <c r="AD99" i="1"/>
  <c r="AE99" i="1"/>
  <c r="P100" i="1"/>
  <c r="W100" i="1"/>
  <c r="AD100" i="1"/>
  <c r="AE100" i="1"/>
  <c r="P101" i="1"/>
  <c r="W101" i="1"/>
  <c r="AD101" i="1"/>
  <c r="AE101" i="1"/>
  <c r="P102" i="1"/>
  <c r="W102" i="1"/>
  <c r="AD102" i="1"/>
  <c r="AE102" i="1"/>
  <c r="P103" i="1"/>
  <c r="W103" i="1"/>
  <c r="AD103" i="1"/>
  <c r="AE103" i="1"/>
  <c r="P104" i="1"/>
  <c r="W104" i="1"/>
  <c r="AD104" i="1"/>
  <c r="AE104" i="1"/>
  <c r="P105" i="1"/>
  <c r="W105" i="1"/>
  <c r="AD105" i="1"/>
  <c r="AE105" i="1"/>
  <c r="W5" i="1"/>
  <c r="AL5" i="1"/>
  <c r="AM5" i="1"/>
  <c r="AN5" i="1"/>
  <c r="AS5" i="1"/>
  <c r="AI5" i="1"/>
  <c r="AJ5" i="1"/>
  <c r="AK5" i="1"/>
  <c r="AR5" i="1"/>
  <c r="AO5" i="1"/>
  <c r="AP5" i="1"/>
  <c r="AQ5" i="1"/>
  <c r="AT5" i="1"/>
  <c r="AU5" i="1"/>
  <c r="P5" i="1"/>
  <c r="AD5" i="1"/>
  <c r="AE5" i="1"/>
  <c r="AF13" i="1"/>
  <c r="AF14" i="1"/>
  <c r="AF15" i="1"/>
  <c r="AF16" i="1"/>
  <c r="AF17" i="1"/>
  <c r="AF18" i="1"/>
  <c r="AF19" i="1"/>
  <c r="AF20" i="1"/>
  <c r="AG21" i="1"/>
  <c r="AF21" i="1"/>
  <c r="AF22" i="1"/>
  <c r="AF23" i="1"/>
  <c r="AF24" i="1"/>
  <c r="AF25" i="1"/>
  <c r="AF26" i="1"/>
  <c r="AF27" i="1"/>
  <c r="AF28" i="1"/>
  <c r="AF29" i="1"/>
  <c r="AF30" i="1"/>
  <c r="AF31" i="1"/>
  <c r="AF32" i="1"/>
  <c r="AF33" i="1"/>
  <c r="AF34" i="1"/>
  <c r="AF35" i="1"/>
  <c r="AF36" i="1"/>
  <c r="AF37" i="1"/>
  <c r="AF38" i="1"/>
  <c r="AF39" i="1"/>
  <c r="AF40" i="1"/>
  <c r="AF41" i="1"/>
  <c r="AF42" i="1"/>
  <c r="AF43" i="1"/>
  <c r="AF44" i="1"/>
  <c r="AF45" i="1"/>
  <c r="AF46" i="1"/>
  <c r="AF47" i="1"/>
  <c r="AF48" i="1"/>
  <c r="AF49" i="1"/>
  <c r="AF50" i="1"/>
  <c r="AF51" i="1"/>
  <c r="AF52" i="1"/>
  <c r="AF53" i="1"/>
  <c r="AF54" i="1"/>
  <c r="AF55" i="1"/>
  <c r="AF56" i="1"/>
  <c r="AF57" i="1"/>
  <c r="AF58" i="1"/>
  <c r="AF59" i="1"/>
  <c r="AF60" i="1"/>
  <c r="AF61" i="1"/>
  <c r="AF62" i="1"/>
  <c r="AF63" i="1"/>
  <c r="AF64" i="1"/>
  <c r="AF65" i="1"/>
  <c r="AF66" i="1"/>
  <c r="AF67" i="1"/>
  <c r="AF68" i="1"/>
  <c r="AF69" i="1"/>
  <c r="AF70" i="1"/>
  <c r="AF71" i="1"/>
  <c r="AF72" i="1"/>
  <c r="AF73" i="1"/>
  <c r="AF74" i="1"/>
  <c r="AF75" i="1"/>
  <c r="AF76" i="1"/>
  <c r="AF77" i="1"/>
  <c r="AF78" i="1"/>
  <c r="AF79" i="1"/>
  <c r="AF80" i="1"/>
  <c r="AF81" i="1"/>
  <c r="AF82" i="1"/>
  <c r="AF83" i="1"/>
  <c r="AF84" i="1"/>
  <c r="AF85" i="1"/>
  <c r="AF86" i="1"/>
  <c r="AF87" i="1"/>
  <c r="AF88" i="1"/>
  <c r="AF89" i="1"/>
  <c r="AF90" i="1"/>
  <c r="AF91" i="1"/>
  <c r="AF92" i="1"/>
  <c r="AF93" i="1"/>
  <c r="AF94" i="1"/>
  <c r="AF95" i="1"/>
  <c r="AF96" i="1"/>
  <c r="AF97" i="1"/>
  <c r="AF98" i="1"/>
  <c r="AF99" i="1"/>
  <c r="AF100" i="1"/>
  <c r="AF101" i="1"/>
  <c r="AF102" i="1"/>
  <c r="AF103" i="1"/>
  <c r="AF104" i="1"/>
  <c r="AF105" i="1"/>
  <c r="AG5" i="1"/>
  <c r="AF5" i="1"/>
  <c r="AG6" i="1"/>
  <c r="AF6" i="1"/>
  <c r="AG7" i="1"/>
  <c r="AF7" i="1"/>
  <c r="AF8" i="1"/>
  <c r="AG9" i="1"/>
  <c r="AF9" i="1"/>
  <c r="AG10" i="1"/>
  <c r="AF10" i="1"/>
  <c r="AG11" i="1"/>
  <c r="AF11" i="1"/>
  <c r="AG8" i="1"/>
  <c r="AG12" i="1"/>
  <c r="AG76" i="1"/>
  <c r="AG77" i="1"/>
  <c r="AG78" i="1"/>
  <c r="AG79" i="1"/>
  <c r="AG80" i="1"/>
  <c r="AG81" i="1"/>
  <c r="AG82" i="1"/>
  <c r="AG83" i="1"/>
  <c r="AG84" i="1"/>
  <c r="AG85" i="1"/>
  <c r="AG86" i="1"/>
  <c r="AG87" i="1"/>
  <c r="AG88" i="1"/>
  <c r="AG89" i="1"/>
  <c r="AG90" i="1"/>
  <c r="AG91" i="1"/>
  <c r="AG92" i="1"/>
  <c r="AG93" i="1"/>
  <c r="AG94" i="1"/>
  <c r="AG95" i="1"/>
  <c r="AG96" i="1"/>
  <c r="AG97" i="1"/>
  <c r="AG98" i="1"/>
  <c r="AG99" i="1"/>
  <c r="AG100" i="1"/>
  <c r="AG101" i="1"/>
  <c r="AG102" i="1"/>
  <c r="AG103" i="1"/>
  <c r="AG104" i="1"/>
  <c r="AG105" i="1"/>
  <c r="AF12" i="1"/>
  <c r="AG13" i="1"/>
  <c r="AG14" i="1"/>
  <c r="AG15" i="1"/>
  <c r="AG16" i="1"/>
  <c r="AG17" i="1"/>
  <c r="AG18" i="1"/>
  <c r="AG19" i="1"/>
  <c r="AG20" i="1"/>
  <c r="AG22" i="1"/>
  <c r="AG23" i="1"/>
  <c r="AG24" i="1"/>
  <c r="AG25" i="1"/>
  <c r="AG26" i="1"/>
  <c r="AG27" i="1"/>
  <c r="AG28" i="1"/>
  <c r="AG29" i="1"/>
  <c r="AG30" i="1"/>
  <c r="AG31" i="1"/>
  <c r="AG32" i="1"/>
  <c r="AG33" i="1"/>
  <c r="AG34" i="1"/>
  <c r="AG35" i="1"/>
  <c r="AG36" i="1"/>
  <c r="AG37" i="1"/>
  <c r="AG38" i="1"/>
  <c r="AG39" i="1"/>
  <c r="AG40" i="1"/>
  <c r="AG41" i="1"/>
  <c r="AG42" i="1"/>
  <c r="AG43" i="1"/>
  <c r="AG44" i="1"/>
  <c r="AG45" i="1"/>
  <c r="AG46" i="1"/>
  <c r="AG47" i="1"/>
  <c r="AG48" i="1"/>
  <c r="AG49" i="1"/>
  <c r="AG50" i="1"/>
  <c r="AG51" i="1"/>
  <c r="AG52" i="1"/>
  <c r="AG53" i="1"/>
  <c r="AG54" i="1"/>
  <c r="AG55" i="1"/>
  <c r="AG56" i="1"/>
  <c r="AG57" i="1"/>
  <c r="AG58" i="1"/>
  <c r="AG59" i="1"/>
  <c r="AG60" i="1"/>
  <c r="AG61" i="1"/>
  <c r="AG62" i="1"/>
  <c r="AG63" i="1"/>
  <c r="AG64" i="1"/>
  <c r="AG65" i="1"/>
  <c r="AG66" i="1"/>
  <c r="AG67" i="1"/>
  <c r="AG68" i="1"/>
  <c r="AG69" i="1"/>
  <c r="AG70" i="1"/>
  <c r="AG71" i="1"/>
  <c r="AG72" i="1"/>
  <c r="AG73" i="1"/>
  <c r="AG74" i="1"/>
  <c r="AG75" i="1"/>
</calcChain>
</file>

<file path=xl/sharedStrings.xml><?xml version="1.0" encoding="utf-8"?>
<sst xmlns="http://schemas.openxmlformats.org/spreadsheetml/2006/main" count="79" uniqueCount="71">
  <si>
    <t>SQ-1</t>
  </si>
  <si>
    <t>SQ-2</t>
  </si>
  <si>
    <t>SQ-3</t>
  </si>
  <si>
    <t>BP-1</t>
  </si>
  <si>
    <t>BP-2</t>
  </si>
  <si>
    <t>BP-3</t>
  </si>
  <si>
    <t>DL-1</t>
  </si>
  <si>
    <t>DL-2</t>
  </si>
  <si>
    <t>DL-3</t>
  </si>
  <si>
    <t>TOTAL</t>
  </si>
  <si>
    <t>Best SQ</t>
  </si>
  <si>
    <t>Best BP</t>
  </si>
  <si>
    <t>Best DL</t>
  </si>
  <si>
    <t>Reference Values</t>
  </si>
  <si>
    <t>Good</t>
  </si>
  <si>
    <t>NoLift</t>
  </si>
  <si>
    <t>First Name</t>
  </si>
  <si>
    <t>Team</t>
  </si>
  <si>
    <t>M-CL-PL</t>
  </si>
  <si>
    <t>M-CL-BP</t>
  </si>
  <si>
    <t>M-EQ-BP</t>
  </si>
  <si>
    <t>M-EQ-PL</t>
  </si>
  <si>
    <t>F-CL-PL</t>
  </si>
  <si>
    <t>F-CL-BP</t>
  </si>
  <si>
    <t>F-EQ-PL</t>
  </si>
  <si>
    <t>F-EQ-BP</t>
  </si>
  <si>
    <t>Female Classic 3-Lift</t>
  </si>
  <si>
    <t>Female Classic Bench</t>
  </si>
  <si>
    <t>Female Equipped 3-Lift</t>
  </si>
  <si>
    <t>Female Equipped Bench</t>
  </si>
  <si>
    <t>Male Classic 3-Lift</t>
  </si>
  <si>
    <t>Male Classic Bench</t>
  </si>
  <si>
    <t>Male Equipped 3-Lift</t>
  </si>
  <si>
    <t>Male Equipped Bench</t>
  </si>
  <si>
    <t>Description</t>
  </si>
  <si>
    <t>A</t>
  </si>
  <si>
    <t>F</t>
  </si>
  <si>
    <t>M</t>
  </si>
  <si>
    <t>84+</t>
  </si>
  <si>
    <t>120+</t>
  </si>
  <si>
    <t>F-Jr</t>
  </si>
  <si>
    <t>M-Jr</t>
  </si>
  <si>
    <t>Birth Year</t>
  </si>
  <si>
    <t>Body Wt</t>
  </si>
  <si>
    <t>WT Class</t>
  </si>
  <si>
    <t>Last 
Name</t>
  </si>
  <si>
    <t>2.  When Birth Year and Body Weight are entered the will automatically determine the correct WT Class.</t>
  </si>
  <si>
    <r>
      <t xml:space="preserve">Lifter1 in the first row is entered in Female-Classic-Powerlifting.  The IPF Formula to calculate her IPF Points is </t>
    </r>
    <r>
      <rPr>
        <b/>
        <sz val="11"/>
        <color theme="1"/>
        <rFont val="Calibri"/>
        <family val="2"/>
        <scheme val="minor"/>
      </rPr>
      <t>F-CL-PL.</t>
    </r>
  </si>
  <si>
    <r>
      <t xml:space="preserve">4.  The gray areas contain formulas and information that will be protected when you </t>
    </r>
    <r>
      <rPr>
        <b/>
        <sz val="11"/>
        <color theme="1"/>
        <rFont val="Calibri"/>
        <family val="2"/>
        <scheme val="minor"/>
      </rPr>
      <t>Protect</t>
    </r>
    <r>
      <rPr>
        <sz val="11"/>
        <color theme="1"/>
        <rFont val="Calibri"/>
        <family val="2"/>
        <scheme val="minor"/>
      </rPr>
      <t xml:space="preserve"> the spreadsheet </t>
    </r>
  </si>
  <si>
    <t>A separate Scoresheet can be created for each Men/Women, Classic/Equipped, Powerlifting/Bench Press or they may all be entered on the same scoresheet.</t>
  </si>
  <si>
    <t>6.  When a lifter completes an attempt, click in the cell next to the weight.</t>
  </si>
  <si>
    <t>B</t>
  </si>
  <si>
    <t>C</t>
  </si>
  <si>
    <t>IPF GL Formula</t>
  </si>
  <si>
    <r>
      <t xml:space="preserve">3.  Any of the 8 IPF GL Formulas can be selected for a lifter.  A description of the each formula can be found on the </t>
    </r>
    <r>
      <rPr>
        <b/>
        <sz val="11"/>
        <color theme="1"/>
        <rFont val="Calibri"/>
        <family val="2"/>
        <scheme val="minor"/>
      </rPr>
      <t>IPF GL Formula</t>
    </r>
    <r>
      <rPr>
        <sz val="11"/>
        <color theme="1"/>
        <rFont val="Calibri"/>
        <family val="2"/>
        <scheme val="minor"/>
      </rPr>
      <t xml:space="preserve"> sheet.  Use the drop down menu in the cell.</t>
    </r>
  </si>
  <si>
    <r>
      <t xml:space="preserve">5.  You may unprotect the </t>
    </r>
    <r>
      <rPr>
        <b/>
        <sz val="11"/>
        <color theme="1"/>
        <rFont val="Calibri"/>
        <family val="2"/>
        <scheme val="minor"/>
      </rPr>
      <t>Scoresheet</t>
    </r>
    <r>
      <rPr>
        <sz val="11"/>
        <color theme="1"/>
        <rFont val="Calibri"/>
        <family val="2"/>
        <scheme val="minor"/>
      </rPr>
      <t xml:space="preserve"> to use the sort functions in Excel to group competitors by weight class, age division, or IPF GL Formula.</t>
    </r>
  </si>
  <si>
    <t>7.  When Bench Press only lifters complete a successful lift and when 3-Lift competitors achieve a Total, IPF GL Points are automatically computed.</t>
  </si>
  <si>
    <r>
      <t xml:space="preserve">1.  Enter lifter information into the spreadsheet in the approriate columns.  Column titles can be changed or Translated to another language after </t>
    </r>
    <r>
      <rPr>
        <b/>
        <sz val="11"/>
        <color theme="1"/>
        <rFont val="Calibri"/>
        <family val="2"/>
        <charset val="204"/>
        <scheme val="minor"/>
      </rPr>
      <t>Unprotecting</t>
    </r>
    <r>
      <rPr>
        <sz val="11"/>
        <color theme="1"/>
        <rFont val="Calibri"/>
        <family val="2"/>
        <scheme val="minor"/>
      </rPr>
      <t xml:space="preserve"> the Spreadsheet.</t>
    </r>
  </si>
  <si>
    <t>Gr.</t>
  </si>
  <si>
    <t>Lot</t>
  </si>
  <si>
    <t>World Open Championships</t>
  </si>
  <si>
    <t>United Arab Emirates, Dubai</t>
  </si>
  <si>
    <t>18-23 NOV 2019</t>
  </si>
  <si>
    <t>IPF GL Pts.</t>
  </si>
  <si>
    <t>Division</t>
  </si>
  <si>
    <t>IPF GL Coeff.</t>
  </si>
  <si>
    <t>√</t>
  </si>
  <si>
    <t>×</t>
  </si>
  <si>
    <r>
      <t xml:space="preserve">For a Good Lift select </t>
    </r>
    <r>
      <rPr>
        <sz val="11"/>
        <color theme="9"/>
        <rFont val="Calibri"/>
        <family val="2"/>
        <charset val="204"/>
        <scheme val="minor"/>
      </rPr>
      <t>√</t>
    </r>
    <r>
      <rPr>
        <sz val="11"/>
        <color theme="1"/>
        <rFont val="Calibri"/>
        <family val="2"/>
        <scheme val="minor"/>
      </rPr>
      <t>.  The cell will turn green. Example:  Osmialowski, SQ-1.</t>
    </r>
  </si>
  <si>
    <r>
      <t xml:space="preserve">For a No Lift select </t>
    </r>
    <r>
      <rPr>
        <sz val="11"/>
        <color rgb="FFFF9999"/>
        <rFont val="Calibri"/>
        <family val="2"/>
        <charset val="204"/>
        <scheme val="minor"/>
      </rPr>
      <t>×</t>
    </r>
    <r>
      <rPr>
        <sz val="11"/>
        <color theme="1"/>
        <rFont val="Calibri"/>
        <family val="2"/>
        <scheme val="minor"/>
      </rPr>
      <t>.  The cell will turn pink with a strikethrough font. Example:  Kupperstein, SQ-1.</t>
    </r>
  </si>
  <si>
    <r>
      <t xml:space="preserve">8.  To use the file again, </t>
    </r>
    <r>
      <rPr>
        <b/>
        <sz val="11"/>
        <color theme="1"/>
        <rFont val="Calibri"/>
        <family val="2"/>
        <scheme val="minor"/>
      </rPr>
      <t>Clear Contents</t>
    </r>
    <r>
      <rPr>
        <sz val="11"/>
        <color theme="1"/>
        <rFont val="Calibri"/>
        <family val="2"/>
        <scheme val="minor"/>
      </rPr>
      <t xml:space="preserve"> or </t>
    </r>
    <r>
      <rPr>
        <b/>
        <sz val="11"/>
        <color theme="1"/>
        <rFont val="Calibri"/>
        <family val="2"/>
        <scheme val="minor"/>
      </rPr>
      <t>Delete</t>
    </r>
    <r>
      <rPr>
        <sz val="11"/>
        <color theme="1"/>
        <rFont val="Calibri"/>
        <family val="2"/>
        <scheme val="minor"/>
      </rPr>
      <t xml:space="preserve"> the information in the areas of the </t>
    </r>
    <r>
      <rPr>
        <b/>
        <sz val="11"/>
        <color theme="1"/>
        <rFont val="Calibri"/>
        <family val="2"/>
        <scheme val="minor"/>
      </rPr>
      <t>Scoresheet</t>
    </r>
    <r>
      <rPr>
        <sz val="11"/>
        <color theme="1"/>
        <rFont val="Calibri"/>
        <family val="2"/>
        <scheme val="minor"/>
      </rPr>
      <t xml:space="preserve"> that are not not gray in color - shown below. Or push buttom "</t>
    </r>
    <r>
      <rPr>
        <b/>
        <sz val="11"/>
        <color theme="1"/>
        <rFont val="Calibri"/>
        <family val="2"/>
        <charset val="204"/>
        <scheme val="minor"/>
      </rPr>
      <t>Clear All Data</t>
    </r>
    <r>
      <rPr>
        <sz val="11"/>
        <color theme="1"/>
        <rFont val="Calibri"/>
        <family val="2"/>
        <scheme val="minor"/>
      </rPr>
      <t>" and confirm the deleting.</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</si>
</sst>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00000"/>
    <numFmt numFmtId="166" formatCode="0.0"/>
  </numFmts>
  <fonts count="26" x14ac:knownFonts="1">
    <font>
      <sz val="11"/>
      <color theme="1"/>
      <name val="Calibri"/>
      <family val="2"/>
      <scheme val="minor"/>
    </font>
    <font>
      <sz val="11"/>
      <color theme="1"/>
      <name val="Calibri"/>
      <family val="2"/>
      <charset val="204"/>
      <scheme val="minor"/>
    </font>
    <font>
      <sz val="11"/>
      <color rgb="FFFF0000"/>
      <name val="Calibri"/>
      <family val="2"/>
      <scheme val="minor"/>
    </font>
    <font>
      <sz val="11"/>
      <color theme="1"/>
      <name val="Arial"/>
      <family val="2"/>
    </font>
    <font>
      <sz val="10"/>
      <color indexed="8"/>
      <name val="Arial"/>
      <family val="2"/>
    </font>
    <font>
      <b/>
      <sz val="10"/>
      <color indexed="8"/>
      <name val="Arial"/>
      <family val="2"/>
    </font>
    <font>
      <sz val="10"/>
      <name val="Arial"/>
      <family val="2"/>
    </font>
    <font>
      <b/>
      <sz val="10"/>
      <name val="Arial"/>
      <family val="2"/>
    </font>
    <font>
      <sz val="11"/>
      <name val="Calibri"/>
      <family val="2"/>
      <scheme val="minor"/>
    </font>
    <font>
      <b/>
      <sz val="11"/>
      <color theme="1"/>
      <name val="Calibri"/>
      <family val="2"/>
      <scheme val="minor"/>
    </font>
    <font>
      <strike/>
      <sz val="11"/>
      <color theme="1"/>
      <name val="Calibri"/>
      <family val="2"/>
      <scheme val="minor"/>
    </font>
    <font>
      <u/>
      <sz val="11"/>
      <color theme="10"/>
      <name val="Calibri"/>
      <family val="2"/>
      <scheme val="minor"/>
    </font>
    <font>
      <u/>
      <sz val="11"/>
      <color theme="11"/>
      <name val="Calibri"/>
      <family val="2"/>
      <scheme val="minor"/>
    </font>
    <font>
      <sz val="8"/>
      <name val="Calibri"/>
      <family val="2"/>
      <scheme val="minor"/>
    </font>
    <font>
      <sz val="12"/>
      <name val="Times New Roman"/>
      <family val="1"/>
      <charset val="204"/>
    </font>
    <font>
      <sz val="10"/>
      <name val="Arial"/>
      <family val="2"/>
      <charset val="204"/>
    </font>
    <font>
      <sz val="11"/>
      <color rgb="FFFF9999"/>
      <name val="Arial"/>
      <family val="2"/>
    </font>
    <font>
      <b/>
      <sz val="11"/>
      <color theme="1"/>
      <name val="Calibri"/>
      <family val="2"/>
      <charset val="204"/>
      <scheme val="minor"/>
    </font>
    <font>
      <b/>
      <sz val="11"/>
      <color theme="8" tint="-0.249977111117893"/>
      <name val="Calibri"/>
      <family val="2"/>
      <scheme val="minor"/>
    </font>
    <font>
      <sz val="11"/>
      <color theme="1"/>
      <name val="Arial"/>
      <family val="2"/>
      <charset val="204"/>
    </font>
    <font>
      <sz val="12"/>
      <color rgb="FF969696"/>
      <name val="Calibri"/>
      <family val="2"/>
      <charset val="204"/>
    </font>
    <font>
      <sz val="11"/>
      <color theme="0"/>
      <name val="Calibri"/>
      <family val="2"/>
      <scheme val="minor"/>
    </font>
    <font>
      <b/>
      <sz val="11"/>
      <color theme="0"/>
      <name val="Calibri"/>
      <family val="2"/>
      <scheme val="minor"/>
    </font>
    <font>
      <sz val="11"/>
      <color rgb="FF92D050"/>
      <name val="Arial"/>
      <family val="2"/>
      <charset val="204"/>
    </font>
    <font>
      <sz val="11"/>
      <color theme="9"/>
      <name val="Calibri"/>
      <family val="2"/>
      <charset val="204"/>
      <scheme val="minor"/>
    </font>
    <font>
      <sz val="11"/>
      <color rgb="FFFF9999"/>
      <name val="Calibri"/>
      <family val="2"/>
      <charset val="204"/>
      <scheme val="minor"/>
    </font>
  </fonts>
  <fills count="5">
    <fill>
      <patternFill patternType="none"/>
    </fill>
    <fill>
      <patternFill patternType="gray125"/>
    </fill>
    <fill>
      <patternFill patternType="solid">
        <fgColor rgb="FF92D050"/>
        <bgColor indexed="64"/>
      </patternFill>
    </fill>
    <fill>
      <patternFill patternType="solid">
        <fgColor rgb="FFFF9999"/>
        <bgColor indexed="64"/>
      </patternFill>
    </fill>
    <fill>
      <patternFill patternType="solid">
        <fgColor theme="4" tint="0.79998168889431442"/>
        <bgColor indexed="64"/>
      </patternFill>
    </fill>
  </fills>
  <borders count="11">
    <border>
      <left/>
      <right/>
      <top/>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style="thin">
        <color indexed="8"/>
      </left>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8"/>
      </left>
      <right style="thin">
        <color indexed="8"/>
      </right>
      <top/>
      <bottom style="thin">
        <color indexed="8"/>
      </bottom>
      <diagonal/>
    </border>
    <border>
      <left style="thin">
        <color indexed="8"/>
      </left>
      <right style="thin">
        <color indexed="8"/>
      </right>
      <top/>
      <bottom/>
      <diagonal/>
    </border>
    <border>
      <left style="thin">
        <color indexed="8"/>
      </left>
      <right/>
      <top/>
      <bottom/>
      <diagonal/>
    </border>
    <border>
      <left/>
      <right/>
      <top/>
      <bottom style="thin">
        <color indexed="64"/>
      </bottom>
      <diagonal/>
    </border>
  </borders>
  <cellStyleXfs count="9">
    <xf numFmtId="0" fontId="0" fillId="0" borderId="0"/>
    <xf numFmtId="0" fontId="4" fillId="0" borderId="0"/>
    <xf numFmtId="0" fontId="6" fillId="0" borderId="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cellStyleXfs>
  <cellXfs count="65">
    <xf numFmtId="0" fontId="0" fillId="0" borderId="0" xfId="0"/>
    <xf numFmtId="0" fontId="3" fillId="0" borderId="0" xfId="0" applyFont="1" applyAlignment="1">
      <alignment horizontal="center"/>
    </xf>
    <xf numFmtId="0" fontId="0" fillId="0" borderId="0" xfId="0" applyAlignment="1">
      <alignment horizontal="center"/>
    </xf>
    <xf numFmtId="0" fontId="6" fillId="0" borderId="0" xfId="2"/>
    <xf numFmtId="0" fontId="5" fillId="0" borderId="1" xfId="1" applyFont="1" applyBorder="1" applyAlignment="1">
      <alignment horizontal="center"/>
    </xf>
    <xf numFmtId="0" fontId="4" fillId="0" borderId="0" xfId="1" applyFont="1" applyAlignment="1"/>
    <xf numFmtId="164" fontId="0" fillId="0" borderId="0" xfId="0" applyNumberFormat="1"/>
    <xf numFmtId="2" fontId="0" fillId="0" borderId="0" xfId="0" applyNumberFormat="1" applyAlignment="1">
      <alignment horizontal="center"/>
    </xf>
    <xf numFmtId="0" fontId="2" fillId="0" borderId="0" xfId="0" applyFont="1"/>
    <xf numFmtId="0" fontId="8" fillId="0" borderId="0" xfId="0" applyFont="1"/>
    <xf numFmtId="1" fontId="0" fillId="0" borderId="0" xfId="0" applyNumberFormat="1" applyAlignment="1">
      <alignment horizontal="center"/>
    </xf>
    <xf numFmtId="0" fontId="0" fillId="0" borderId="0" xfId="0" applyNumberFormat="1" applyAlignment="1">
      <alignment horizontal="center"/>
    </xf>
    <xf numFmtId="0" fontId="0" fillId="2" borderId="0" xfId="0" applyFill="1" applyAlignment="1">
      <alignment horizontal="center"/>
    </xf>
    <xf numFmtId="0" fontId="10" fillId="3" borderId="0" xfId="0" applyFont="1" applyFill="1" applyAlignment="1">
      <alignment horizontal="center"/>
    </xf>
    <xf numFmtId="0" fontId="3" fillId="0" borderId="0" xfId="0" applyFont="1" applyFill="1" applyAlignment="1">
      <alignment horizontal="center"/>
    </xf>
    <xf numFmtId="0" fontId="0" fillId="0" borderId="2" xfId="0" applyBorder="1" applyAlignment="1" applyProtection="1">
      <alignment horizontal="center"/>
      <protection locked="0"/>
    </xf>
    <xf numFmtId="0" fontId="0" fillId="0" borderId="2" xfId="0" applyBorder="1" applyProtection="1">
      <protection locked="0"/>
    </xf>
    <xf numFmtId="1" fontId="0" fillId="0" borderId="2" xfId="0" applyNumberFormat="1" applyBorder="1" applyAlignment="1" applyProtection="1">
      <alignment horizontal="center"/>
      <protection locked="0"/>
    </xf>
    <xf numFmtId="2" fontId="0" fillId="0" borderId="2" xfId="0" applyNumberFormat="1" applyBorder="1" applyAlignment="1" applyProtection="1">
      <alignment horizontal="center"/>
      <protection locked="0"/>
    </xf>
    <xf numFmtId="0" fontId="3" fillId="0" borderId="2" xfId="0" applyFont="1" applyBorder="1" applyAlignment="1" applyProtection="1">
      <alignment horizontal="center"/>
      <protection locked="0"/>
    </xf>
    <xf numFmtId="0" fontId="5" fillId="0" borderId="3" xfId="1" applyFont="1" applyBorder="1" applyAlignment="1">
      <alignment horizontal="center"/>
    </xf>
    <xf numFmtId="0" fontId="14" fillId="0" borderId="4" xfId="0" applyFont="1" applyBorder="1" applyAlignment="1">
      <alignment horizontal="right" vertical="center" wrapText="1"/>
    </xf>
    <xf numFmtId="0" fontId="14" fillId="0" borderId="5" xfId="0" applyFont="1" applyBorder="1" applyAlignment="1">
      <alignment horizontal="right" vertical="center" wrapText="1"/>
    </xf>
    <xf numFmtId="0" fontId="7" fillId="0" borderId="0" xfId="1" applyFont="1" applyBorder="1" applyAlignment="1"/>
    <xf numFmtId="0" fontId="5" fillId="0" borderId="6" xfId="1" applyFont="1" applyBorder="1" applyAlignment="1">
      <alignment horizontal="center"/>
    </xf>
    <xf numFmtId="0" fontId="15" fillId="0" borderId="6"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0" xfId="1" applyFont="1" applyBorder="1" applyAlignment="1"/>
    <xf numFmtId="0" fontId="0" fillId="0" borderId="4" xfId="0" applyBorder="1" applyAlignment="1" applyProtection="1">
      <alignment horizontal="center"/>
      <protection locked="0"/>
    </xf>
    <xf numFmtId="0" fontId="16" fillId="0" borderId="0" xfId="0" applyFont="1" applyFill="1" applyAlignment="1">
      <alignment horizontal="center"/>
    </xf>
    <xf numFmtId="0" fontId="0" fillId="0" borderId="4" xfId="0" applyBorder="1" applyProtection="1">
      <protection locked="0"/>
    </xf>
    <xf numFmtId="1" fontId="0" fillId="0" borderId="4" xfId="0" applyNumberFormat="1" applyBorder="1" applyAlignment="1" applyProtection="1">
      <alignment horizontal="center"/>
      <protection locked="0"/>
    </xf>
    <xf numFmtId="2" fontId="0" fillId="0" borderId="4" xfId="0" applyNumberFormat="1" applyBorder="1" applyAlignment="1" applyProtection="1">
      <alignment horizontal="center"/>
      <protection locked="0"/>
    </xf>
    <xf numFmtId="0" fontId="0" fillId="0" borderId="0" xfId="0" applyFill="1"/>
    <xf numFmtId="0" fontId="9" fillId="0" borderId="0" xfId="0" applyFont="1" applyFill="1" applyBorder="1" applyAlignment="1">
      <alignment vertical="center" wrapText="1"/>
    </xf>
    <xf numFmtId="0" fontId="0" fillId="4" borderId="2" xfId="0" applyNumberFormat="1" applyFill="1" applyBorder="1" applyAlignment="1">
      <alignment horizontal="center"/>
    </xf>
    <xf numFmtId="166" fontId="0" fillId="0" borderId="2" xfId="0" applyNumberFormat="1" applyBorder="1" applyAlignment="1" applyProtection="1">
      <alignment horizontal="center"/>
      <protection locked="0"/>
    </xf>
    <xf numFmtId="166" fontId="0" fillId="4" borderId="2" xfId="0" applyNumberFormat="1" applyFill="1" applyBorder="1" applyAlignment="1">
      <alignment horizontal="center"/>
    </xf>
    <xf numFmtId="166" fontId="17" fillId="4" borderId="2" xfId="0" applyNumberFormat="1" applyFont="1" applyFill="1" applyBorder="1" applyAlignment="1">
      <alignment horizontal="center"/>
    </xf>
    <xf numFmtId="0" fontId="18" fillId="4" borderId="4" xfId="0" applyFont="1" applyFill="1" applyBorder="1" applyAlignment="1">
      <alignment horizontal="center" vertical="center" wrapText="1"/>
    </xf>
    <xf numFmtId="1" fontId="18" fillId="4" borderId="4" xfId="0" applyNumberFormat="1" applyFont="1" applyFill="1" applyBorder="1" applyAlignment="1">
      <alignment horizontal="center" vertical="center" wrapText="1"/>
    </xf>
    <xf numFmtId="2" fontId="18" fillId="4" borderId="4" xfId="0" applyNumberFormat="1" applyFont="1" applyFill="1" applyBorder="1" applyAlignment="1">
      <alignment horizontal="center" vertical="center" wrapText="1"/>
    </xf>
    <xf numFmtId="0" fontId="18" fillId="4" borderId="4" xfId="0" applyNumberFormat="1" applyFont="1" applyFill="1" applyBorder="1" applyAlignment="1">
      <alignment horizontal="center" vertical="center" wrapText="1"/>
    </xf>
    <xf numFmtId="0" fontId="18" fillId="4" borderId="4" xfId="0" applyFont="1" applyFill="1" applyBorder="1" applyAlignment="1">
      <alignment horizontal="center" vertical="center" wrapText="1"/>
    </xf>
    <xf numFmtId="166" fontId="1" fillId="0" borderId="2" xfId="0" applyNumberFormat="1" applyFont="1" applyBorder="1" applyAlignment="1" applyProtection="1">
      <alignment horizontal="center"/>
      <protection locked="0"/>
    </xf>
    <xf numFmtId="166" fontId="0" fillId="0" borderId="4" xfId="0" applyNumberFormat="1" applyBorder="1" applyAlignment="1" applyProtection="1">
      <alignment horizontal="center"/>
      <protection locked="0"/>
    </xf>
    <xf numFmtId="165" fontId="0" fillId="4" borderId="2" xfId="0" applyNumberFormat="1" applyFill="1" applyBorder="1" applyAlignment="1"/>
    <xf numFmtId="164" fontId="18" fillId="4" borderId="2" xfId="0" applyNumberFormat="1" applyFont="1" applyFill="1" applyBorder="1" applyAlignment="1">
      <alignment horizontal="center" vertical="center" wrapText="1"/>
    </xf>
    <xf numFmtId="0" fontId="19" fillId="0" borderId="0" xfId="0" applyFont="1" applyAlignment="1">
      <alignment horizontal="center"/>
    </xf>
    <xf numFmtId="0" fontId="18" fillId="4" borderId="4" xfId="0" applyFont="1" applyFill="1" applyBorder="1" applyAlignment="1" applyProtection="1">
      <alignment horizontal="center" vertical="center" wrapText="1"/>
      <protection locked="0"/>
    </xf>
    <xf numFmtId="165" fontId="0" fillId="4" borderId="2" xfId="0" applyNumberFormat="1" applyFill="1" applyBorder="1"/>
    <xf numFmtId="0" fontId="22" fillId="0" borderId="0" xfId="0" applyFont="1" applyProtection="1"/>
    <xf numFmtId="0" fontId="8" fillId="0" borderId="0" xfId="0" applyFont="1" applyProtection="1"/>
    <xf numFmtId="165" fontId="8" fillId="0" borderId="0" xfId="0" applyNumberFormat="1" applyFont="1" applyFill="1"/>
    <xf numFmtId="0" fontId="8" fillId="0" borderId="0" xfId="0" applyFont="1" applyFill="1"/>
    <xf numFmtId="0" fontId="21" fillId="0" borderId="0" xfId="0" applyFont="1" applyFill="1"/>
    <xf numFmtId="0" fontId="23" fillId="0" borderId="0" xfId="0" applyFont="1" applyFill="1" applyAlignment="1">
      <alignment horizontal="center"/>
    </xf>
    <xf numFmtId="0" fontId="18" fillId="4" borderId="4" xfId="0" applyFont="1" applyFill="1" applyBorder="1" applyAlignment="1">
      <alignment horizontal="center" vertical="center" wrapText="1"/>
    </xf>
    <xf numFmtId="0" fontId="1" fillId="0" borderId="0" xfId="0" applyFont="1" applyAlignment="1" applyProtection="1">
      <alignment horizontal="center"/>
      <protection locked="0"/>
    </xf>
    <xf numFmtId="1" fontId="0" fillId="0" borderId="10" xfId="0" applyNumberFormat="1" applyBorder="1" applyAlignment="1" applyProtection="1">
      <alignment horizontal="center" vertical="top"/>
      <protection locked="0"/>
    </xf>
    <xf numFmtId="0" fontId="17" fillId="0" borderId="0" xfId="0" applyFont="1" applyAlignment="1" applyProtection="1">
      <alignment horizontal="center"/>
      <protection locked="0"/>
    </xf>
    <xf numFmtId="0" fontId="5" fillId="0" borderId="0" xfId="1" applyFont="1" applyBorder="1" applyAlignment="1">
      <alignment horizontal="center"/>
    </xf>
    <xf numFmtId="0" fontId="5" fillId="0" borderId="10" xfId="1" applyFont="1" applyBorder="1" applyAlignment="1">
      <alignment horizontal="center"/>
    </xf>
  </cellXfs>
  <cellStyles count="9">
    <cellStyle name="Excel Built-in Normal" xfId="1" xr:uid="{00000000-0005-0000-0000-000003000000}"/>
    <cellStyle name="Normal 2" xfId="2" xr:uid="{00000000-0005-0000-0000-000007000000}"/>
    <cellStyle name="Гиперссылка" xfId="3" builtinId="8" hidden="1"/>
    <cellStyle name="Гиперссылка" xfId="5" builtinId="8" hidden="1"/>
    <cellStyle name="Гиперссылка" xfId="7" builtinId="8" hidden="1"/>
    <cellStyle name="Обычный" xfId="0" builtinId="0"/>
    <cellStyle name="Открывавшаяся гиперссылка" xfId="4" builtinId="9" hidden="1"/>
    <cellStyle name="Открывавшаяся гиперссылка" xfId="6" builtinId="9" hidden="1"/>
    <cellStyle name="Открывавшаяся гиперссылка" xfId="8" builtinId="9" hidden="1"/>
  </cellStyles>
  <dxfs count="77">
    <dxf>
      <font>
        <color rgb="FF92D050"/>
      </font>
      <fill>
        <patternFill patternType="none">
          <bgColor auto="1"/>
        </patternFill>
      </fill>
    </dxf>
    <dxf>
      <font>
        <color rgb="FFFD8D8D"/>
      </font>
      <fill>
        <patternFill patternType="none">
          <bgColor auto="1"/>
        </patternFill>
      </fill>
    </dxf>
    <dxf>
      <font>
        <color rgb="FF92D050"/>
      </font>
      <fill>
        <patternFill patternType="none">
          <bgColor auto="1"/>
        </patternFill>
      </fill>
    </dxf>
    <dxf>
      <font>
        <color rgb="FFFD8D8D"/>
      </font>
      <fill>
        <patternFill patternType="none">
          <bgColor auto="1"/>
        </patternFill>
      </fill>
    </dxf>
    <dxf>
      <font>
        <color rgb="FF92D050"/>
      </font>
      <fill>
        <patternFill patternType="none">
          <bgColor auto="1"/>
        </patternFill>
      </fill>
    </dxf>
    <dxf>
      <font>
        <color rgb="FFFD8D8D"/>
      </font>
      <fill>
        <patternFill patternType="none">
          <bgColor auto="1"/>
        </patternFill>
      </fill>
    </dxf>
    <dxf>
      <font>
        <color rgb="FF92D050"/>
      </font>
      <fill>
        <patternFill patternType="none">
          <bgColor auto="1"/>
        </patternFill>
      </fill>
    </dxf>
    <dxf>
      <font>
        <color rgb="FFFD8D8D"/>
      </font>
      <fill>
        <patternFill patternType="none">
          <bgColor auto="1"/>
        </patternFill>
      </fill>
    </dxf>
    <dxf>
      <font>
        <color rgb="FF92D050"/>
      </font>
      <fill>
        <patternFill patternType="none">
          <bgColor auto="1"/>
        </patternFill>
      </fill>
    </dxf>
    <dxf>
      <font>
        <color rgb="FFFD8D8D"/>
      </font>
      <fill>
        <patternFill patternType="none">
          <bgColor auto="1"/>
        </patternFill>
      </fill>
    </dxf>
    <dxf>
      <font>
        <color rgb="FF92D050"/>
      </font>
      <fill>
        <patternFill patternType="none">
          <bgColor auto="1"/>
        </patternFill>
      </fill>
    </dxf>
    <dxf>
      <font>
        <color rgb="FFFD8D8D"/>
      </font>
      <fill>
        <patternFill patternType="none">
          <bgColor auto="1"/>
        </patternFill>
      </fill>
    </dxf>
    <dxf>
      <font>
        <color rgb="FF92D050"/>
      </font>
      <fill>
        <patternFill patternType="none">
          <bgColor auto="1"/>
        </patternFill>
      </fill>
    </dxf>
    <dxf>
      <font>
        <color rgb="FFFD8D8D"/>
      </font>
      <fill>
        <patternFill patternType="none">
          <bgColor auto="1"/>
        </patternFill>
      </fill>
    </dxf>
    <dxf>
      <font>
        <color rgb="FF92D050"/>
      </font>
      <fill>
        <patternFill patternType="none">
          <bgColor auto="1"/>
        </patternFill>
      </fill>
    </dxf>
    <dxf>
      <font>
        <color rgb="FFFD8D8D"/>
      </font>
      <fill>
        <patternFill patternType="none">
          <bgColor auto="1"/>
        </patternFill>
      </fill>
    </dxf>
    <dxf>
      <font>
        <color rgb="FF92D050"/>
      </font>
      <fill>
        <patternFill patternType="none">
          <bgColor auto="1"/>
        </patternFill>
      </fill>
    </dxf>
    <dxf>
      <font>
        <color rgb="FFFD8D8D"/>
      </font>
      <fill>
        <patternFill patternType="none">
          <bgColor auto="1"/>
        </patternFill>
      </fill>
    </dxf>
    <dxf>
      <font>
        <color rgb="FF92D050"/>
      </font>
      <fill>
        <patternFill patternType="none">
          <bgColor auto="1"/>
        </patternFill>
      </fill>
    </dxf>
    <dxf>
      <font>
        <color rgb="FFFD8D8D"/>
      </font>
      <fill>
        <patternFill patternType="none">
          <bgColor auto="1"/>
        </patternFill>
      </fill>
    </dxf>
    <dxf>
      <font>
        <color rgb="FF92D050"/>
      </font>
      <fill>
        <patternFill patternType="none">
          <bgColor auto="1"/>
        </patternFill>
      </fill>
    </dxf>
    <dxf>
      <font>
        <color rgb="FFFD8D8D"/>
      </font>
      <fill>
        <patternFill patternType="none">
          <bgColor auto="1"/>
        </patternFill>
      </fill>
    </dxf>
    <dxf>
      <font>
        <color rgb="FF92D050"/>
      </font>
      <fill>
        <patternFill patternType="none">
          <bgColor auto="1"/>
        </patternFill>
      </fill>
    </dxf>
    <dxf>
      <font>
        <color rgb="FFFD8D8D"/>
      </font>
      <fill>
        <patternFill patternType="none">
          <bgColor auto="1"/>
        </patternFill>
      </fill>
    </dxf>
    <dxf>
      <font>
        <color rgb="FF92D050"/>
      </font>
      <fill>
        <patternFill patternType="none">
          <bgColor auto="1"/>
        </patternFill>
      </fill>
    </dxf>
    <dxf>
      <font>
        <color rgb="FFFD8D8D"/>
      </font>
      <fill>
        <patternFill patternType="none">
          <bgColor auto="1"/>
        </patternFill>
      </fill>
    </dxf>
    <dxf>
      <font>
        <color rgb="FF92D050"/>
      </font>
      <fill>
        <patternFill patternType="none">
          <bgColor auto="1"/>
        </patternFill>
      </fill>
    </dxf>
    <dxf>
      <font>
        <color rgb="FFFD8D8D"/>
      </font>
      <fill>
        <patternFill patternType="none">
          <bgColor auto="1"/>
        </patternFill>
      </fill>
    </dxf>
    <dxf>
      <font>
        <color rgb="FF92D050"/>
      </font>
      <fill>
        <patternFill patternType="none">
          <bgColor auto="1"/>
        </patternFill>
      </fill>
    </dxf>
    <dxf>
      <font>
        <color rgb="FFFD8D8D"/>
      </font>
      <fill>
        <patternFill patternType="none">
          <bgColor auto="1"/>
        </patternFill>
      </fill>
    </dxf>
    <dxf>
      <font>
        <color rgb="FF92D050"/>
      </font>
      <fill>
        <patternFill patternType="none">
          <bgColor auto="1"/>
        </patternFill>
      </fill>
    </dxf>
    <dxf>
      <font>
        <color rgb="FFFD8D8D"/>
      </font>
      <fill>
        <patternFill patternType="none">
          <bgColor auto="1"/>
        </patternFill>
      </fill>
    </dxf>
    <dxf>
      <font>
        <color rgb="FF92D050"/>
      </font>
      <fill>
        <patternFill patternType="none">
          <bgColor auto="1"/>
        </patternFill>
      </fill>
    </dxf>
    <dxf>
      <font>
        <color rgb="FFFD8D8D"/>
      </font>
      <fill>
        <patternFill patternType="none">
          <bgColor auto="1"/>
        </patternFill>
      </fill>
    </dxf>
    <dxf>
      <font>
        <color rgb="FF92D050"/>
      </font>
      <fill>
        <patternFill patternType="none">
          <bgColor auto="1"/>
        </patternFill>
      </fill>
    </dxf>
    <dxf>
      <font>
        <color rgb="FFFD8D8D"/>
      </font>
      <fill>
        <patternFill patternType="none">
          <bgColor auto="1"/>
        </patternFill>
      </fill>
    </dxf>
    <dxf>
      <font>
        <color rgb="FF92D050"/>
      </font>
      <fill>
        <patternFill patternType="none">
          <bgColor auto="1"/>
        </patternFill>
      </fill>
    </dxf>
    <dxf>
      <font>
        <color rgb="FFFD8D8D"/>
      </font>
      <fill>
        <patternFill patternType="none">
          <bgColor auto="1"/>
        </patternFill>
      </fill>
    </dxf>
    <dxf>
      <font>
        <color rgb="FF92D050"/>
      </font>
      <fill>
        <patternFill patternType="none">
          <bgColor auto="1"/>
        </patternFill>
      </fill>
    </dxf>
    <dxf>
      <font>
        <color rgb="FFFD8D8D"/>
      </font>
      <fill>
        <patternFill patternType="none">
          <bgColor auto="1"/>
        </patternFill>
      </fill>
    </dxf>
    <dxf>
      <font>
        <color rgb="FF92D050"/>
      </font>
      <fill>
        <patternFill patternType="none">
          <bgColor auto="1"/>
        </patternFill>
      </fill>
    </dxf>
    <dxf>
      <font>
        <color rgb="FFFD8D8D"/>
      </font>
      <fill>
        <patternFill patternType="none">
          <bgColor auto="1"/>
        </patternFill>
      </fill>
    </dxf>
    <dxf>
      <font>
        <color rgb="FF92D050"/>
      </font>
      <fill>
        <patternFill patternType="none">
          <bgColor auto="1"/>
        </patternFill>
      </fill>
    </dxf>
    <dxf>
      <font>
        <color rgb="FFFD8D8D"/>
      </font>
      <fill>
        <patternFill patternType="none">
          <bgColor auto="1"/>
        </patternFill>
      </fill>
    </dxf>
    <dxf>
      <font>
        <color rgb="FF92D050"/>
      </font>
      <fill>
        <patternFill patternType="none">
          <bgColor auto="1"/>
        </patternFill>
      </fill>
    </dxf>
    <dxf>
      <font>
        <color rgb="FFFD8D8D"/>
      </font>
      <fill>
        <patternFill patternType="none">
          <bgColor auto="1"/>
        </patternFill>
      </fill>
    </dxf>
    <dxf>
      <font>
        <color theme="4" tint="0.79998168889431442"/>
      </font>
    </dxf>
    <dxf>
      <font>
        <b/>
        <i val="0"/>
        <color auto="1"/>
      </font>
      <fill>
        <patternFill>
          <bgColor rgb="FF92D050"/>
        </patternFill>
      </fill>
    </dxf>
    <dxf>
      <font>
        <strike/>
      </font>
      <fill>
        <patternFill>
          <bgColor rgb="FFFF9999"/>
        </patternFill>
      </fill>
    </dxf>
    <dxf>
      <font>
        <b/>
        <i val="0"/>
        <color auto="1"/>
      </font>
      <fill>
        <patternFill>
          <bgColor rgb="FF92D050"/>
        </patternFill>
      </fill>
    </dxf>
    <dxf>
      <font>
        <strike/>
      </font>
      <fill>
        <patternFill>
          <bgColor rgb="FFFF9999"/>
        </patternFill>
      </fill>
    </dxf>
    <dxf>
      <font>
        <color rgb="FF92D050"/>
      </font>
      <fill>
        <patternFill patternType="none">
          <bgColor auto="1"/>
        </patternFill>
      </fill>
    </dxf>
    <dxf>
      <font>
        <color rgb="FFFD8D8D"/>
      </font>
      <fill>
        <patternFill patternType="none">
          <bgColor auto="1"/>
        </patternFill>
      </fill>
    </dxf>
    <dxf>
      <font>
        <color rgb="FF92D050"/>
      </font>
      <fill>
        <patternFill patternType="none">
          <bgColor auto="1"/>
        </patternFill>
      </fill>
    </dxf>
    <dxf>
      <font>
        <color rgb="FFFD8D8D"/>
      </font>
      <fill>
        <patternFill patternType="none">
          <bgColor auto="1"/>
        </patternFill>
      </fill>
    </dxf>
    <dxf>
      <font>
        <color rgb="FF92D050"/>
      </font>
      <fill>
        <patternFill patternType="none">
          <bgColor auto="1"/>
        </patternFill>
      </fill>
    </dxf>
    <dxf>
      <font>
        <color rgb="FFFD8D8D"/>
      </font>
      <fill>
        <patternFill patternType="none">
          <bgColor auto="1"/>
        </patternFill>
      </fill>
    </dxf>
    <dxf>
      <font>
        <color rgb="FF92D050"/>
      </font>
      <fill>
        <patternFill patternType="none">
          <bgColor auto="1"/>
        </patternFill>
      </fill>
    </dxf>
    <dxf>
      <font>
        <color rgb="FFFD8D8D"/>
      </font>
      <fill>
        <patternFill patternType="none">
          <bgColor auto="1"/>
        </patternFill>
      </fill>
    </dxf>
    <dxf>
      <font>
        <color rgb="FF92D050"/>
      </font>
      <fill>
        <patternFill patternType="none">
          <bgColor auto="1"/>
        </patternFill>
      </fill>
    </dxf>
    <dxf>
      <font>
        <color rgb="FFFD8D8D"/>
      </font>
      <fill>
        <patternFill patternType="none">
          <bgColor auto="1"/>
        </patternFill>
      </fill>
    </dxf>
    <dxf>
      <font>
        <color rgb="FF92D050"/>
      </font>
      <fill>
        <patternFill patternType="none">
          <bgColor auto="1"/>
        </patternFill>
      </fill>
    </dxf>
    <dxf>
      <font>
        <color rgb="FFFD8D8D"/>
      </font>
      <fill>
        <patternFill patternType="none">
          <bgColor auto="1"/>
        </patternFill>
      </fill>
    </dxf>
    <dxf>
      <font>
        <color rgb="FF92D050"/>
      </font>
      <fill>
        <patternFill patternType="none">
          <bgColor auto="1"/>
        </patternFill>
      </fill>
    </dxf>
    <dxf>
      <font>
        <color rgb="FFFD8D8D"/>
      </font>
      <fill>
        <patternFill patternType="none">
          <bgColor auto="1"/>
        </patternFill>
      </fill>
    </dxf>
    <dxf>
      <font>
        <color rgb="FF92D050"/>
      </font>
      <fill>
        <patternFill patternType="none">
          <bgColor auto="1"/>
        </patternFill>
      </fill>
    </dxf>
    <dxf>
      <font>
        <color rgb="FFFD8D8D"/>
      </font>
      <fill>
        <patternFill patternType="none">
          <bgColor auto="1"/>
        </patternFill>
      </fill>
    </dxf>
    <dxf>
      <font>
        <color rgb="FF92D050"/>
      </font>
      <fill>
        <patternFill patternType="none">
          <bgColor auto="1"/>
        </patternFill>
      </fill>
    </dxf>
    <dxf>
      <font>
        <color rgb="FFFD8D8D"/>
      </font>
      <fill>
        <patternFill patternType="none">
          <bgColor auto="1"/>
        </patternFill>
      </fill>
    </dxf>
    <dxf>
      <font>
        <color rgb="FF92D050"/>
      </font>
      <fill>
        <patternFill patternType="none">
          <bgColor auto="1"/>
        </patternFill>
      </fill>
    </dxf>
    <dxf>
      <font>
        <color rgb="FFFD8D8D"/>
      </font>
      <fill>
        <patternFill patternType="none">
          <bgColor auto="1"/>
        </patternFill>
      </fill>
    </dxf>
    <dxf>
      <font>
        <color rgb="FF92D050"/>
      </font>
      <fill>
        <patternFill patternType="none">
          <bgColor auto="1"/>
        </patternFill>
      </fill>
    </dxf>
    <dxf>
      <font>
        <color rgb="FFFD8D8D"/>
      </font>
      <fill>
        <patternFill patternType="none">
          <bgColor auto="1"/>
        </patternFill>
      </fill>
    </dxf>
    <dxf>
      <font>
        <b/>
        <i val="0"/>
        <color auto="1"/>
      </font>
      <fill>
        <patternFill>
          <bgColor rgb="FF92D050"/>
        </patternFill>
      </fill>
    </dxf>
    <dxf>
      <font>
        <strike/>
      </font>
      <fill>
        <patternFill>
          <bgColor rgb="FFFF9999"/>
        </patternFill>
      </fill>
    </dxf>
    <dxf>
      <font>
        <b val="0"/>
        <i val="0"/>
        <color auto="1"/>
      </font>
      <fill>
        <patternFill>
          <bgColor rgb="FF92D050"/>
        </patternFill>
      </fill>
    </dxf>
    <dxf>
      <font>
        <strike/>
      </font>
      <fill>
        <patternFill>
          <bgColor rgb="FFFF9999"/>
        </patternFill>
      </fill>
    </dxf>
  </dxfs>
  <tableStyles count="0" defaultTableStyle="TableStyleMedium2" defaultPivotStyle="PivotStyleLight16"/>
  <colors>
    <mruColors>
      <color rgb="FFFF9999"/>
      <color rgb="FFFD8D8D"/>
      <color rgb="FF5B9B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121920</xdr:colOff>
      <xdr:row>0</xdr:row>
      <xdr:rowOff>37060</xdr:rowOff>
    </xdr:from>
    <xdr:to>
      <xdr:col>3</xdr:col>
      <xdr:colOff>363264</xdr:colOff>
      <xdr:row>2</xdr:row>
      <xdr:rowOff>557891</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1920" y="37060"/>
          <a:ext cx="1839364" cy="908758"/>
        </a:xfrm>
        <a:prstGeom prst="rect">
          <a:avLst/>
        </a:prstGeom>
      </xdr:spPr>
    </xdr:pic>
    <xdr:clientData/>
  </xdr:twoCellAnchor>
  <mc:AlternateContent xmlns:mc="http://schemas.openxmlformats.org/markup-compatibility/2006">
    <mc:Choice xmlns:a14="http://schemas.microsoft.com/office/drawing/2010/main" Requires="a14">
      <xdr:twoCellAnchor>
        <xdr:from>
          <xdr:col>29</xdr:col>
          <xdr:colOff>85725</xdr:colOff>
          <xdr:row>0</xdr:row>
          <xdr:rowOff>76200</xdr:rowOff>
        </xdr:from>
        <xdr:to>
          <xdr:col>31</xdr:col>
          <xdr:colOff>647700</xdr:colOff>
          <xdr:row>1</xdr:row>
          <xdr:rowOff>152400</xdr:rowOff>
        </xdr:to>
        <xdr:sp macro="" textlink="">
          <xdr:nvSpPr>
            <xdr:cNvPr id="2063" name="Button 15" descr="Clear All Data" hidden="1">
              <a:extLst>
                <a:ext uri="{63B3BB69-23CF-44E3-9099-C40C66FF867C}">
                  <a14:compatExt spid="_x0000_s2063"/>
                </a:ext>
                <a:ext uri="{FF2B5EF4-FFF2-40B4-BE49-F238E27FC236}">
                  <a16:creationId xmlns:a16="http://schemas.microsoft.com/office/drawing/2014/main" id="{00000000-0008-0000-0000-00000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200" b="0" i="0" u="none" strike="noStrike" baseline="0">
                  <a:solidFill>
                    <a:srgbClr val="969696"/>
                  </a:solidFill>
                  <a:latin typeface="Calibri"/>
                </a:rPr>
                <a:t>Clear All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297180</xdr:colOff>
      <xdr:row>10</xdr:row>
      <xdr:rowOff>115364</xdr:rowOff>
    </xdr:from>
    <xdr:to>
      <xdr:col>23</xdr:col>
      <xdr:colOff>29978</xdr:colOff>
      <xdr:row>25</xdr:row>
      <xdr:rowOff>53340</xdr:rowOff>
    </xdr:to>
    <xdr:pic>
      <xdr:nvPicPr>
        <xdr:cNvPr id="3" name="Рисунок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297180" y="1944164"/>
          <a:ext cx="13113518" cy="2681176"/>
        </a:xfrm>
        <a:prstGeom prst="rect">
          <a:avLst/>
        </a:prstGeom>
      </xdr:spPr>
    </xdr:pic>
    <xdr:clientData/>
  </xdr:twoCellAnchor>
  <xdr:twoCellAnchor editAs="oneCell">
    <xdr:from>
      <xdr:col>1</xdr:col>
      <xdr:colOff>22861</xdr:colOff>
      <xdr:row>32</xdr:row>
      <xdr:rowOff>0</xdr:rowOff>
    </xdr:from>
    <xdr:to>
      <xdr:col>17</xdr:col>
      <xdr:colOff>250033</xdr:colOff>
      <xdr:row>44</xdr:row>
      <xdr:rowOff>68580</xdr:rowOff>
    </xdr:to>
    <xdr:pic>
      <xdr:nvPicPr>
        <xdr:cNvPr id="4" name="Рисунок 3">
          <a:extLst>
            <a:ext uri="{FF2B5EF4-FFF2-40B4-BE49-F238E27FC236}">
              <a16:creationId xmlns:a16="http://schemas.microsoft.com/office/drawing/2014/main" id="{00000000-0008-0000-0100-000004000000}"/>
            </a:ext>
          </a:extLst>
        </xdr:cNvPr>
        <xdr:cNvPicPr>
          <a:picLocks noChangeAspect="1"/>
        </xdr:cNvPicPr>
      </xdr:nvPicPr>
      <xdr:blipFill rotWithShape="1">
        <a:blip xmlns:r="http://schemas.openxmlformats.org/officeDocument/2006/relationships" r:embed="rId2"/>
        <a:srcRect t="37658"/>
        <a:stretch/>
      </xdr:blipFill>
      <xdr:spPr>
        <a:xfrm>
          <a:off x="327661" y="5852160"/>
          <a:ext cx="9736932" cy="2263140"/>
        </a:xfrm>
        <a:prstGeom prst="rect">
          <a:avLst/>
        </a:prstGeom>
      </xdr:spPr>
    </xdr:pic>
    <xdr:clientData/>
  </xdr:twoCellAnchor>
  <xdr:twoCellAnchor editAs="oneCell">
    <xdr:from>
      <xdr:col>1</xdr:col>
      <xdr:colOff>22860</xdr:colOff>
      <xdr:row>46</xdr:row>
      <xdr:rowOff>137161</xdr:rowOff>
    </xdr:from>
    <xdr:to>
      <xdr:col>23</xdr:col>
      <xdr:colOff>182880</xdr:colOff>
      <xdr:row>55</xdr:row>
      <xdr:rowOff>108587</xdr:rowOff>
    </xdr:to>
    <xdr:pic>
      <xdr:nvPicPr>
        <xdr:cNvPr id="6" name="Рисунок 5">
          <a:extLst>
            <a:ext uri="{FF2B5EF4-FFF2-40B4-BE49-F238E27FC236}">
              <a16:creationId xmlns:a16="http://schemas.microsoft.com/office/drawing/2014/main" id="{00000000-0008-0000-0100-000006000000}"/>
            </a:ext>
          </a:extLst>
        </xdr:cNvPr>
        <xdr:cNvPicPr>
          <a:picLocks noChangeAspect="1"/>
        </xdr:cNvPicPr>
      </xdr:nvPicPr>
      <xdr:blipFill rotWithShape="1">
        <a:blip xmlns:r="http://schemas.openxmlformats.org/officeDocument/2006/relationships" r:embed="rId3"/>
        <a:srcRect t="38336"/>
        <a:stretch/>
      </xdr:blipFill>
      <xdr:spPr>
        <a:xfrm>
          <a:off x="327660" y="8549641"/>
          <a:ext cx="13235940" cy="1617346"/>
        </a:xfrm>
        <a:prstGeom prst="rect">
          <a:avLst/>
        </a:prstGeom>
      </xdr:spPr>
    </xdr:pic>
    <xdr:clientData/>
  </xdr:twoCellAnchor>
  <xdr:twoCellAnchor editAs="oneCell">
    <xdr:from>
      <xdr:col>1</xdr:col>
      <xdr:colOff>0</xdr:colOff>
      <xdr:row>57</xdr:row>
      <xdr:rowOff>0</xdr:rowOff>
    </xdr:from>
    <xdr:to>
      <xdr:col>23</xdr:col>
      <xdr:colOff>160020</xdr:colOff>
      <xdr:row>65</xdr:row>
      <xdr:rowOff>154306</xdr:rowOff>
    </xdr:to>
    <xdr:pic>
      <xdr:nvPicPr>
        <xdr:cNvPr id="17" name="Рисунок 16">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3"/>
        <a:srcRect t="38336"/>
        <a:stretch/>
      </xdr:blipFill>
      <xdr:spPr>
        <a:xfrm>
          <a:off x="304800" y="10424160"/>
          <a:ext cx="13235940" cy="1617346"/>
        </a:xfrm>
        <a:prstGeom prst="rect">
          <a:avLst/>
        </a:prstGeom>
      </xdr:spPr>
    </xdr:pic>
    <xdr:clientData/>
  </xdr:twoCellAnchor>
  <xdr:twoCellAnchor>
    <xdr:from>
      <xdr:col>1</xdr:col>
      <xdr:colOff>568960</xdr:colOff>
      <xdr:row>59</xdr:row>
      <xdr:rowOff>55880</xdr:rowOff>
    </xdr:from>
    <xdr:to>
      <xdr:col>8</xdr:col>
      <xdr:colOff>198120</xdr:colOff>
      <xdr:row>65</xdr:row>
      <xdr:rowOff>121920</xdr:rowOff>
    </xdr:to>
    <xdr:sp macro="" textlink="">
      <xdr:nvSpPr>
        <xdr:cNvPr id="8" name="Rectangle 7">
          <a:extLst>
            <a:ext uri="{FF2B5EF4-FFF2-40B4-BE49-F238E27FC236}">
              <a16:creationId xmlns:a16="http://schemas.microsoft.com/office/drawing/2014/main" id="{00000000-0008-0000-0100-000008000000}"/>
            </a:ext>
          </a:extLst>
        </xdr:cNvPr>
        <xdr:cNvSpPr/>
      </xdr:nvSpPr>
      <xdr:spPr>
        <a:xfrm>
          <a:off x="873760" y="10845800"/>
          <a:ext cx="3789680" cy="1163320"/>
        </a:xfrm>
        <a:prstGeom prst="rect">
          <a:avLst/>
        </a:prstGeom>
        <a:solidFill>
          <a:srgbClr val="5B9BD5">
            <a:alpha val="50196"/>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35560</xdr:colOff>
      <xdr:row>59</xdr:row>
      <xdr:rowOff>48260</xdr:rowOff>
    </xdr:from>
    <xdr:to>
      <xdr:col>11</xdr:col>
      <xdr:colOff>556260</xdr:colOff>
      <xdr:row>65</xdr:row>
      <xdr:rowOff>114300</xdr:rowOff>
    </xdr:to>
    <xdr:sp macro="" textlink="">
      <xdr:nvSpPr>
        <xdr:cNvPr id="18" name="Rectangle 7">
          <a:extLst>
            <a:ext uri="{FF2B5EF4-FFF2-40B4-BE49-F238E27FC236}">
              <a16:creationId xmlns:a16="http://schemas.microsoft.com/office/drawing/2014/main" id="{00000000-0008-0000-0100-000012000000}"/>
            </a:ext>
          </a:extLst>
        </xdr:cNvPr>
        <xdr:cNvSpPr/>
      </xdr:nvSpPr>
      <xdr:spPr>
        <a:xfrm>
          <a:off x="5095240" y="10838180"/>
          <a:ext cx="1709420" cy="1163320"/>
        </a:xfrm>
        <a:prstGeom prst="rect">
          <a:avLst/>
        </a:prstGeom>
        <a:solidFill>
          <a:srgbClr val="5B9BD5">
            <a:alpha val="50196"/>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439420</xdr:colOff>
      <xdr:row>59</xdr:row>
      <xdr:rowOff>33020</xdr:rowOff>
    </xdr:from>
    <xdr:to>
      <xdr:col>15</xdr:col>
      <xdr:colOff>365760</xdr:colOff>
      <xdr:row>65</xdr:row>
      <xdr:rowOff>99060</xdr:rowOff>
    </xdr:to>
    <xdr:sp macro="" textlink="">
      <xdr:nvSpPr>
        <xdr:cNvPr id="19" name="Rectangle 7">
          <a:extLst>
            <a:ext uri="{FF2B5EF4-FFF2-40B4-BE49-F238E27FC236}">
              <a16:creationId xmlns:a16="http://schemas.microsoft.com/office/drawing/2014/main" id="{00000000-0008-0000-0100-000013000000}"/>
            </a:ext>
          </a:extLst>
        </xdr:cNvPr>
        <xdr:cNvSpPr/>
      </xdr:nvSpPr>
      <xdr:spPr>
        <a:xfrm>
          <a:off x="7282180" y="10822940"/>
          <a:ext cx="1709420" cy="1163320"/>
        </a:xfrm>
        <a:prstGeom prst="rect">
          <a:avLst/>
        </a:prstGeom>
        <a:solidFill>
          <a:srgbClr val="5B9BD5">
            <a:alpha val="50196"/>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248920</xdr:colOff>
      <xdr:row>59</xdr:row>
      <xdr:rowOff>25400</xdr:rowOff>
    </xdr:from>
    <xdr:to>
      <xdr:col>19</xdr:col>
      <xdr:colOff>175260</xdr:colOff>
      <xdr:row>65</xdr:row>
      <xdr:rowOff>91440</xdr:rowOff>
    </xdr:to>
    <xdr:sp macro="" textlink="">
      <xdr:nvSpPr>
        <xdr:cNvPr id="20" name="Rectangle 7">
          <a:extLst>
            <a:ext uri="{FF2B5EF4-FFF2-40B4-BE49-F238E27FC236}">
              <a16:creationId xmlns:a16="http://schemas.microsoft.com/office/drawing/2014/main" id="{00000000-0008-0000-0100-000014000000}"/>
            </a:ext>
          </a:extLst>
        </xdr:cNvPr>
        <xdr:cNvSpPr/>
      </xdr:nvSpPr>
      <xdr:spPr>
        <a:xfrm>
          <a:off x="9469120" y="10815320"/>
          <a:ext cx="1709420" cy="1163320"/>
        </a:xfrm>
        <a:prstGeom prst="rect">
          <a:avLst/>
        </a:prstGeom>
        <a:solidFill>
          <a:srgbClr val="5B9BD5">
            <a:alpha val="50196"/>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1"/>
  <dimension ref="A1:AY105"/>
  <sheetViews>
    <sheetView showGridLines="0" showRowColHeaders="0" tabSelected="1" zoomScaleNormal="100" zoomScalePageLayoutView="120" workbookViewId="0">
      <pane ySplit="4" topLeftCell="A5" activePane="bottomLeft" state="frozen"/>
      <selection pane="bottomLeft" activeCell="A5" sqref="A5"/>
    </sheetView>
  </sheetViews>
  <sheetFormatPr defaultColWidth="8.7109375" defaultRowHeight="15" x14ac:dyDescent="0.25"/>
  <cols>
    <col min="1" max="1" width="4.28515625" style="2" customWidth="1"/>
    <col min="2" max="2" width="3.85546875" style="2" customWidth="1"/>
    <col min="3" max="3" width="15" customWidth="1"/>
    <col min="4" max="4" width="8.7109375" customWidth="1"/>
    <col min="5" max="5" width="11" customWidth="1"/>
    <col min="6" max="6" width="9" style="10" customWidth="1"/>
    <col min="7" max="7" width="8.7109375" style="10" customWidth="1"/>
    <col min="8" max="8" width="7.7109375" style="7" customWidth="1"/>
    <col min="9" max="9" width="5.7109375" style="11" customWidth="1"/>
    <col min="10" max="10" width="2.42578125" style="2" customWidth="1"/>
    <col min="11" max="11" width="6.7109375" style="2" customWidth="1"/>
    <col min="12" max="12" width="2.42578125" style="2" customWidth="1"/>
    <col min="13" max="13" width="6.7109375" style="2" customWidth="1"/>
    <col min="14" max="14" width="2.42578125" style="2" customWidth="1"/>
    <col min="15" max="16" width="6.7109375" style="2" customWidth="1"/>
    <col min="17" max="17" width="2.42578125" style="2" customWidth="1"/>
    <col min="18" max="18" width="6.7109375" style="2" customWidth="1"/>
    <col min="19" max="19" width="2.42578125" style="2" customWidth="1"/>
    <col min="20" max="20" width="6.7109375" style="2" customWidth="1"/>
    <col min="21" max="21" width="2.42578125" style="2" customWidth="1"/>
    <col min="22" max="23" width="6.7109375" style="2" customWidth="1"/>
    <col min="24" max="24" width="2.42578125" style="2" customWidth="1"/>
    <col min="25" max="25" width="6.7109375" style="2" customWidth="1"/>
    <col min="26" max="26" width="2.42578125" style="2" customWidth="1"/>
    <col min="27" max="27" width="6.7109375" style="2" customWidth="1"/>
    <col min="28" max="28" width="2.42578125" style="2" customWidth="1"/>
    <col min="29" max="31" width="6.7109375" style="2" customWidth="1"/>
    <col min="32" max="32" width="12.28515625" style="6" customWidth="1"/>
    <col min="33" max="33" width="9.5703125" customWidth="1"/>
    <col min="34" max="34" width="9.42578125" bestFit="1" customWidth="1"/>
  </cols>
  <sheetData>
    <row r="1" spans="1:51" s="35" customFormat="1" ht="15" customHeight="1" x14ac:dyDescent="0.25">
      <c r="A1" s="2"/>
      <c r="B1" s="2"/>
      <c r="C1"/>
      <c r="D1"/>
      <c r="E1" s="62" t="s">
        <v>60</v>
      </c>
      <c r="F1" s="62"/>
      <c r="G1" s="62"/>
      <c r="H1" s="62"/>
      <c r="I1" s="62"/>
      <c r="J1" s="62"/>
      <c r="K1" s="62"/>
      <c r="L1" s="62"/>
      <c r="M1" s="62"/>
      <c r="N1" s="62"/>
      <c r="O1" s="62"/>
      <c r="P1" s="62"/>
      <c r="Q1" s="62"/>
      <c r="R1" s="2"/>
      <c r="S1" s="58" t="s">
        <v>66</v>
      </c>
      <c r="T1" s="12" t="s">
        <v>14</v>
      </c>
      <c r="U1" s="2"/>
      <c r="V1" s="50"/>
      <c r="W1" s="2"/>
      <c r="X1" s="2"/>
      <c r="Y1" s="2"/>
      <c r="Z1" s="2"/>
      <c r="AA1" s="2"/>
      <c r="AB1" s="2"/>
      <c r="AC1" s="2"/>
      <c r="AD1" s="2"/>
      <c r="AE1" s="2"/>
      <c r="AF1" s="6"/>
    </row>
    <row r="2" spans="1:51" s="35" customFormat="1" ht="15" customHeight="1" x14ac:dyDescent="0.25">
      <c r="A2" s="2"/>
      <c r="B2" s="2"/>
      <c r="C2"/>
      <c r="D2"/>
      <c r="E2" s="60" t="s">
        <v>61</v>
      </c>
      <c r="F2" s="60"/>
      <c r="G2" s="60"/>
      <c r="H2" s="60"/>
      <c r="I2" s="60"/>
      <c r="J2" s="60"/>
      <c r="K2" s="60"/>
      <c r="L2" s="60"/>
      <c r="M2" s="60"/>
      <c r="N2" s="60"/>
      <c r="O2" s="60"/>
      <c r="P2" s="60"/>
      <c r="Q2" s="60"/>
      <c r="R2" s="2"/>
      <c r="S2" s="31" t="s">
        <v>67</v>
      </c>
      <c r="T2" s="13" t="s">
        <v>15</v>
      </c>
      <c r="U2" s="1"/>
      <c r="V2" s="2"/>
      <c r="W2" s="2"/>
      <c r="X2" s="1"/>
      <c r="Y2" s="2"/>
      <c r="Z2" s="1"/>
      <c r="AA2" s="2"/>
      <c r="AB2" s="1"/>
      <c r="AC2" s="2"/>
      <c r="AD2" s="2"/>
      <c r="AE2" s="2"/>
      <c r="AF2" s="6"/>
    </row>
    <row r="3" spans="1:51" s="35" customFormat="1" ht="51.75" customHeight="1" x14ac:dyDescent="0.25">
      <c r="A3" s="2"/>
      <c r="B3" s="2"/>
      <c r="C3"/>
      <c r="D3"/>
      <c r="E3" s="61" t="s">
        <v>62</v>
      </c>
      <c r="F3" s="61"/>
      <c r="G3" s="61"/>
      <c r="H3" s="61"/>
      <c r="I3" s="61"/>
      <c r="J3" s="61"/>
      <c r="K3" s="61"/>
      <c r="L3" s="61"/>
      <c r="M3" s="61"/>
      <c r="N3" s="61"/>
      <c r="O3" s="61"/>
      <c r="P3" s="61"/>
      <c r="Q3" s="61"/>
      <c r="R3" s="2"/>
      <c r="S3" s="1"/>
      <c r="T3" s="2"/>
      <c r="U3" s="1"/>
      <c r="V3" s="2"/>
      <c r="W3" s="2"/>
      <c r="X3" s="1"/>
      <c r="Y3" s="2"/>
      <c r="Z3" s="1"/>
      <c r="AA3" s="2"/>
      <c r="AB3" s="1"/>
      <c r="AC3" s="2"/>
      <c r="AD3" s="2"/>
      <c r="AE3" s="2"/>
      <c r="AF3" s="6"/>
    </row>
    <row r="4" spans="1:51" s="36" customFormat="1" ht="30" customHeight="1" x14ac:dyDescent="0.25">
      <c r="A4" s="41" t="s">
        <v>58</v>
      </c>
      <c r="B4" s="41" t="s">
        <v>59</v>
      </c>
      <c r="C4" s="45" t="s">
        <v>45</v>
      </c>
      <c r="D4" s="51" t="s">
        <v>16</v>
      </c>
      <c r="E4" s="45" t="s">
        <v>17</v>
      </c>
      <c r="F4" s="42" t="s">
        <v>42</v>
      </c>
      <c r="G4" s="43" t="s">
        <v>64</v>
      </c>
      <c r="H4" s="43" t="s">
        <v>43</v>
      </c>
      <c r="I4" s="44" t="s">
        <v>44</v>
      </c>
      <c r="J4" s="59" t="s">
        <v>0</v>
      </c>
      <c r="K4" s="59"/>
      <c r="L4" s="59" t="s">
        <v>1</v>
      </c>
      <c r="M4" s="59"/>
      <c r="N4" s="59" t="s">
        <v>2</v>
      </c>
      <c r="O4" s="59"/>
      <c r="P4" s="41" t="s">
        <v>10</v>
      </c>
      <c r="Q4" s="59" t="s">
        <v>3</v>
      </c>
      <c r="R4" s="59"/>
      <c r="S4" s="59" t="s">
        <v>4</v>
      </c>
      <c r="T4" s="59"/>
      <c r="U4" s="59" t="s">
        <v>5</v>
      </c>
      <c r="V4" s="59"/>
      <c r="W4" s="41" t="s">
        <v>11</v>
      </c>
      <c r="X4" s="59" t="s">
        <v>6</v>
      </c>
      <c r="Y4" s="59"/>
      <c r="Z4" s="59" t="s">
        <v>7</v>
      </c>
      <c r="AA4" s="59"/>
      <c r="AB4" s="59" t="s">
        <v>8</v>
      </c>
      <c r="AC4" s="59"/>
      <c r="AD4" s="41" t="s">
        <v>12</v>
      </c>
      <c r="AE4" s="41" t="s">
        <v>9</v>
      </c>
      <c r="AF4" s="49" t="s">
        <v>63</v>
      </c>
      <c r="AG4" s="49" t="s">
        <v>65</v>
      </c>
    </row>
    <row r="5" spans="1:51" s="35" customFormat="1" x14ac:dyDescent="0.25">
      <c r="A5" s="30"/>
      <c r="B5" s="30"/>
      <c r="C5" s="32"/>
      <c r="D5" s="32"/>
      <c r="E5" s="32"/>
      <c r="F5" s="33"/>
      <c r="G5" s="18"/>
      <c r="H5" s="34"/>
      <c r="I5" s="37" t="str">
        <f ca="1">IF(H5="","",VLOOKUP(H5,WeightClasses!$A$2:$E$18,IF(LEFT(G5,1)="F",IF(YEAR(TODAY())-F5&lt;24,4,2),IF(YEAR(TODAY())-F5&lt;24,5,3)),TRUE))</f>
        <v/>
      </c>
      <c r="J5" s="19"/>
      <c r="K5" s="46"/>
      <c r="L5" s="19"/>
      <c r="M5" s="38"/>
      <c r="N5" s="19"/>
      <c r="O5" s="38"/>
      <c r="P5" s="39" t="str">
        <f t="shared" ref="P5:P11" si="0">IF(OR(K5&lt;&gt;0,M5&lt;&gt;0,O5&lt;&gt;0),MAX(IF(J5=$S$1,K5,0),IF(L5=$S$1,M5,0),IF(N5=$S$1,O5,0)),"")</f>
        <v/>
      </c>
      <c r="Q5" s="19"/>
      <c r="R5" s="38"/>
      <c r="S5" s="19"/>
      <c r="T5" s="38"/>
      <c r="U5" s="19"/>
      <c r="V5" s="38"/>
      <c r="W5" s="39" t="str">
        <f>IF(OR(R5&lt;&gt;0,T5&lt;&gt;0,V5&lt;&gt;0),MAX(IF(Q5=$S$1,R5,0),IF(S5=$S$1,T5,0),IF(U5=$S$1,V5,0)),"")</f>
        <v/>
      </c>
      <c r="X5" s="19"/>
      <c r="Y5" s="38"/>
      <c r="Z5" s="19"/>
      <c r="AA5" s="38"/>
      <c r="AB5" s="19"/>
      <c r="AC5" s="38"/>
      <c r="AD5" s="39" t="str">
        <f>IF(OR(Y5&lt;&gt;0,AA5&lt;&gt;0,AC5&lt;&gt;0),MAX(IF(X5=$S$1,Y5,0),IF(Z5=$S$1,AA5,0),IF(AB5=$S$1,AC5,0)),"")</f>
        <v/>
      </c>
      <c r="AE5" s="40" t="str">
        <f>IF(OR(P5&lt;&gt;"",W5&lt;&gt;"",AD5&lt;&gt;""),IF(AU5,"DSQ",IF(AND(RIGHT(G5,2)="PL"),IF(P5="",0,P5)+IF(W5="",0,W5)+IF(AD5="",0,AD5),IF(AND(RIGHT(G5,2)="BP",W5&lt;&gt;0),W5,0))),"")</f>
        <v/>
      </c>
      <c r="AF5" s="48" t="str">
        <f t="shared" ref="AF5:AF11" si="1">IF(AND(AE5&lt;&gt;"",ISNUMBER(AE5)),AG5*AE5,"")</f>
        <v/>
      </c>
      <c r="AG5" s="52">
        <f>IF(OR(H5="",H5=0),0, ROUND(100/(VLOOKUP($G5,'IPF GL Formula'!$A$4:$F$11,3,FALSE)-VLOOKUP($G5,'IPF GL Formula'!$A$4:$F$11,4,FALSE)*EXP(-VLOOKUP($G5,'IPF GL Formula'!$A$4:$F$11,5,FALSE)*H5)),6))</f>
        <v>0</v>
      </c>
      <c r="AH5" s="55"/>
      <c r="AI5" s="57" t="b">
        <f>J5=$S$2</f>
        <v>0</v>
      </c>
      <c r="AJ5" s="57" t="b">
        <f>L5=$S$2</f>
        <v>0</v>
      </c>
      <c r="AK5" s="57" t="b">
        <f>N5=$S$2</f>
        <v>0</v>
      </c>
      <c r="AL5" s="57" t="b">
        <f>Q5=$S$2</f>
        <v>0</v>
      </c>
      <c r="AM5" s="57" t="b">
        <f>S5=$S$2</f>
        <v>0</v>
      </c>
      <c r="AN5" s="57" t="b">
        <f>U5=$S$2</f>
        <v>0</v>
      </c>
      <c r="AO5" s="57" t="b">
        <f>X5=$S$2</f>
        <v>0</v>
      </c>
      <c r="AP5" s="57" t="b">
        <f>Z5=$S$2</f>
        <v>0</v>
      </c>
      <c r="AQ5" s="57" t="b">
        <f>AB5=$S$2</f>
        <v>0</v>
      </c>
      <c r="AR5" s="53" t="b">
        <f>AND(AI5,AJ5,AK5)</f>
        <v>0</v>
      </c>
      <c r="AS5" s="53" t="b">
        <f>AND(AL5,AM5,AN5)</f>
        <v>0</v>
      </c>
      <c r="AT5" s="53" t="b">
        <f>AND(AO5,AP5,AQ5)</f>
        <v>0</v>
      </c>
      <c r="AU5" s="53" t="b">
        <f>OR(AR5,AS5,AT5)</f>
        <v>0</v>
      </c>
      <c r="AV5" s="54"/>
      <c r="AW5" s="56"/>
      <c r="AX5" s="56"/>
      <c r="AY5" s="56"/>
    </row>
    <row r="6" spans="1:51" s="35" customFormat="1" x14ac:dyDescent="0.25">
      <c r="A6" s="30"/>
      <c r="B6" s="30"/>
      <c r="C6" s="32"/>
      <c r="D6" s="32"/>
      <c r="E6" s="32"/>
      <c r="F6" s="33"/>
      <c r="G6" s="18"/>
      <c r="H6" s="34"/>
      <c r="I6" s="37" t="str">
        <f ca="1">IF(H6="","",VLOOKUP(H6,WeightClasses!$A$2:$E$18,IF(LEFT(G6,1)="F",IF(YEAR(TODAY())-F6&lt;24,4,2),IF(YEAR(TODAY())-F6&lt;24,5,3)),TRUE))</f>
        <v/>
      </c>
      <c r="J6" s="19"/>
      <c r="K6" s="46"/>
      <c r="L6" s="19"/>
      <c r="M6" s="38"/>
      <c r="N6" s="19"/>
      <c r="O6" s="38"/>
      <c r="P6" s="39" t="str">
        <f t="shared" si="0"/>
        <v/>
      </c>
      <c r="Q6" s="19"/>
      <c r="R6" s="38"/>
      <c r="S6" s="19"/>
      <c r="T6" s="38"/>
      <c r="U6" s="19"/>
      <c r="V6" s="38"/>
      <c r="W6" s="39" t="str">
        <f t="shared" ref="W6:W69" si="2">IF(OR(R6&lt;&gt;0,T6&lt;&gt;0,V6&lt;&gt;0),MAX(IF(Q6=$S$1,R6,0),IF(S6=$S$1,T6,0),IF(U6=$S$1,V6,0)),"")</f>
        <v/>
      </c>
      <c r="X6" s="19"/>
      <c r="Y6" s="38"/>
      <c r="Z6" s="19"/>
      <c r="AA6" s="38"/>
      <c r="AB6" s="19"/>
      <c r="AC6" s="38"/>
      <c r="AD6" s="39" t="str">
        <f t="shared" ref="AD6:AD69" si="3">IF(OR(Y6&lt;&gt;0,AA6&lt;&gt;0,AC6&lt;&gt;0),MAX(IF(X6=$S$1,Y6,0),IF(Z6=$S$1,AA6,0),IF(AB6=$S$1,AC6,0)),"")</f>
        <v/>
      </c>
      <c r="AE6" s="40" t="str">
        <f t="shared" ref="AE6:AE69" si="4">IF(OR(P6&lt;&gt;"",W6&lt;&gt;"",AD6&lt;&gt;""),IF(AU6,"DSQ",IF(AND(RIGHT(G6,2)="PL"),IF(P6="",0,P6)+IF(W6="",0,W6)+IF(AD6="",0,AD6),IF(AND(RIGHT(G6,2)="BP",W6&lt;&gt;0),W6,0))),"")</f>
        <v/>
      </c>
      <c r="AF6" s="48" t="str">
        <f t="shared" si="1"/>
        <v/>
      </c>
      <c r="AG6" s="52">
        <f>IF(OR(H6="",H6=0),0, ROUND(100/(VLOOKUP($G6,'IPF GL Formula'!$A$4:$F$11,3,FALSE)-VLOOKUP($G6,'IPF GL Formula'!$A$4:$F$11,4,FALSE)*EXP(-VLOOKUP($G6,'IPF GL Formula'!$A$4:$F$11,5,FALSE)*H6)),6))</f>
        <v>0</v>
      </c>
      <c r="AH6" s="56"/>
      <c r="AI6" s="57" t="b">
        <f t="shared" ref="AI6:AI69" si="5">J6=$S$2</f>
        <v>0</v>
      </c>
      <c r="AJ6" s="57" t="b">
        <f t="shared" ref="AJ6:AJ69" si="6">L6=$S$2</f>
        <v>0</v>
      </c>
      <c r="AK6" s="57" t="b">
        <f t="shared" ref="AK6:AK69" si="7">N6=$S$2</f>
        <v>0</v>
      </c>
      <c r="AL6" s="57" t="b">
        <f t="shared" ref="AL6:AL69" si="8">Q6=$S$2</f>
        <v>0</v>
      </c>
      <c r="AM6" s="57" t="b">
        <f t="shared" ref="AM6:AM69" si="9">S6=$S$2</f>
        <v>0</v>
      </c>
      <c r="AN6" s="57" t="b">
        <f t="shared" ref="AN6:AN69" si="10">U6=$S$2</f>
        <v>0</v>
      </c>
      <c r="AO6" s="57" t="b">
        <f t="shared" ref="AO6:AO69" si="11">X6=$S$2</f>
        <v>0</v>
      </c>
      <c r="AP6" s="57" t="b">
        <f t="shared" ref="AP6:AP69" si="12">Z6=$S$2</f>
        <v>0</v>
      </c>
      <c r="AQ6" s="57" t="b">
        <f t="shared" ref="AQ6:AQ69" si="13">AB6=$S$2</f>
        <v>0</v>
      </c>
      <c r="AR6" s="53" t="b">
        <f t="shared" ref="AR6:AR69" si="14">AND(AI6,AJ6,AK6)</f>
        <v>0</v>
      </c>
      <c r="AS6" s="53" t="b">
        <f t="shared" ref="AS6:AS69" si="15">AND(AL6,AM6,AN6)</f>
        <v>0</v>
      </c>
      <c r="AT6" s="53" t="b">
        <f t="shared" ref="AT6:AT69" si="16">AND(AO6,AP6,AQ6)</f>
        <v>0</v>
      </c>
      <c r="AU6" s="53" t="b">
        <f t="shared" ref="AU6:AU69" si="17">OR(AR6,AS6,AT6)</f>
        <v>0</v>
      </c>
      <c r="AV6" s="54"/>
      <c r="AW6" s="56"/>
      <c r="AX6" s="56"/>
      <c r="AY6" s="56"/>
    </row>
    <row r="7" spans="1:51" s="35" customFormat="1" x14ac:dyDescent="0.25">
      <c r="A7" s="30"/>
      <c r="B7" s="30"/>
      <c r="C7" s="32"/>
      <c r="D7" s="32"/>
      <c r="E7" s="32"/>
      <c r="F7" s="33"/>
      <c r="G7" s="18"/>
      <c r="H7" s="34"/>
      <c r="I7" s="37" t="str">
        <f ca="1">IF(H7="","",VLOOKUP(H7,WeightClasses!$A$2:$E$18,IF(LEFT(G7,1)="F",IF(YEAR(TODAY())-F7&lt;24,4,2),IF(YEAR(TODAY())-F7&lt;24,5,3)),TRUE))</f>
        <v/>
      </c>
      <c r="J7" s="19"/>
      <c r="K7" s="46"/>
      <c r="L7" s="19"/>
      <c r="M7" s="38"/>
      <c r="N7" s="19"/>
      <c r="O7" s="38"/>
      <c r="P7" s="39" t="str">
        <f t="shared" si="0"/>
        <v/>
      </c>
      <c r="Q7" s="19"/>
      <c r="R7" s="38"/>
      <c r="S7" s="19"/>
      <c r="T7" s="38"/>
      <c r="U7" s="19"/>
      <c r="V7" s="38"/>
      <c r="W7" s="39" t="str">
        <f t="shared" si="2"/>
        <v/>
      </c>
      <c r="X7" s="19"/>
      <c r="Y7" s="38"/>
      <c r="Z7" s="19"/>
      <c r="AA7" s="38"/>
      <c r="AB7" s="19"/>
      <c r="AC7" s="38"/>
      <c r="AD7" s="39" t="str">
        <f t="shared" si="3"/>
        <v/>
      </c>
      <c r="AE7" s="40" t="str">
        <f t="shared" si="4"/>
        <v/>
      </c>
      <c r="AF7" s="48" t="str">
        <f t="shared" si="1"/>
        <v/>
      </c>
      <c r="AG7" s="52">
        <f>IF(OR(H7="",H7=0),0, ROUND(100/(VLOOKUP($G7,'IPF GL Formula'!$A$4:$F$11,3,FALSE)-VLOOKUP($G7,'IPF GL Formula'!$A$4:$F$11,4,FALSE)*EXP(-VLOOKUP($G7,'IPF GL Formula'!$A$4:$F$11,5,FALSE)*H7)),6))</f>
        <v>0</v>
      </c>
      <c r="AH7" s="56"/>
      <c r="AI7" s="57" t="b">
        <f t="shared" si="5"/>
        <v>0</v>
      </c>
      <c r="AJ7" s="57" t="b">
        <f t="shared" si="6"/>
        <v>0</v>
      </c>
      <c r="AK7" s="57" t="b">
        <f t="shared" si="7"/>
        <v>0</v>
      </c>
      <c r="AL7" s="57" t="b">
        <f t="shared" si="8"/>
        <v>0</v>
      </c>
      <c r="AM7" s="57" t="b">
        <f t="shared" si="9"/>
        <v>0</v>
      </c>
      <c r="AN7" s="57" t="b">
        <f t="shared" si="10"/>
        <v>0</v>
      </c>
      <c r="AO7" s="57" t="b">
        <f t="shared" si="11"/>
        <v>0</v>
      </c>
      <c r="AP7" s="57" t="b">
        <f t="shared" si="12"/>
        <v>0</v>
      </c>
      <c r="AQ7" s="57" t="b">
        <f t="shared" si="13"/>
        <v>0</v>
      </c>
      <c r="AR7" s="53" t="b">
        <f t="shared" si="14"/>
        <v>0</v>
      </c>
      <c r="AS7" s="53" t="b">
        <f t="shared" si="15"/>
        <v>0</v>
      </c>
      <c r="AT7" s="53" t="b">
        <f t="shared" si="16"/>
        <v>0</v>
      </c>
      <c r="AU7" s="53" t="b">
        <f t="shared" si="17"/>
        <v>0</v>
      </c>
      <c r="AV7" s="54"/>
      <c r="AW7" s="56"/>
      <c r="AX7" s="56"/>
      <c r="AY7" s="56"/>
    </row>
    <row r="8" spans="1:51" s="35" customFormat="1" x14ac:dyDescent="0.25">
      <c r="A8" s="30"/>
      <c r="B8" s="30"/>
      <c r="C8" s="32"/>
      <c r="D8" s="32"/>
      <c r="E8" s="32"/>
      <c r="F8" s="33"/>
      <c r="G8" s="18"/>
      <c r="H8" s="34"/>
      <c r="I8" s="37" t="str">
        <f ca="1">IF(H8="","",VLOOKUP(H8,WeightClasses!$A$2:$E$18,IF(LEFT(G8,1)="F",IF(YEAR(TODAY())-F8&lt;24,4,2),IF(YEAR(TODAY())-F8&lt;24,5,3)),TRUE))</f>
        <v/>
      </c>
      <c r="J8" s="19"/>
      <c r="K8" s="46"/>
      <c r="L8" s="19"/>
      <c r="M8" s="38"/>
      <c r="N8" s="19"/>
      <c r="O8" s="38"/>
      <c r="P8" s="39" t="str">
        <f t="shared" si="0"/>
        <v/>
      </c>
      <c r="Q8" s="19"/>
      <c r="R8" s="38"/>
      <c r="S8" s="19"/>
      <c r="T8" s="38"/>
      <c r="U8" s="19"/>
      <c r="V8" s="38"/>
      <c r="W8" s="39" t="str">
        <f t="shared" si="2"/>
        <v/>
      </c>
      <c r="X8" s="19"/>
      <c r="Y8" s="38"/>
      <c r="Z8" s="19"/>
      <c r="AA8" s="38"/>
      <c r="AB8" s="19"/>
      <c r="AC8" s="38"/>
      <c r="AD8" s="39" t="str">
        <f t="shared" si="3"/>
        <v/>
      </c>
      <c r="AE8" s="40" t="str">
        <f t="shared" si="4"/>
        <v/>
      </c>
      <c r="AF8" s="48" t="str">
        <f t="shared" si="1"/>
        <v/>
      </c>
      <c r="AG8" s="52">
        <f>IF(OR(H8="",H8=0),0, ROUND(100/(VLOOKUP($G8,'IPF GL Formula'!$A$4:$F$11,3,FALSE)-VLOOKUP($G8,'IPF GL Formula'!$A$4:$F$11,4,FALSE)*EXP(-VLOOKUP($G8,'IPF GL Formula'!$A$4:$F$11,5,FALSE)*H8)),6))</f>
        <v>0</v>
      </c>
      <c r="AH8" s="56"/>
      <c r="AI8" s="57" t="b">
        <f t="shared" si="5"/>
        <v>0</v>
      </c>
      <c r="AJ8" s="57" t="b">
        <f t="shared" si="6"/>
        <v>0</v>
      </c>
      <c r="AK8" s="57" t="b">
        <f t="shared" si="7"/>
        <v>0</v>
      </c>
      <c r="AL8" s="57" t="b">
        <f t="shared" si="8"/>
        <v>0</v>
      </c>
      <c r="AM8" s="57" t="b">
        <f t="shared" si="9"/>
        <v>0</v>
      </c>
      <c r="AN8" s="57" t="b">
        <f t="shared" si="10"/>
        <v>0</v>
      </c>
      <c r="AO8" s="57" t="b">
        <f t="shared" si="11"/>
        <v>0</v>
      </c>
      <c r="AP8" s="57" t="b">
        <f t="shared" si="12"/>
        <v>0</v>
      </c>
      <c r="AQ8" s="57" t="b">
        <f t="shared" si="13"/>
        <v>0</v>
      </c>
      <c r="AR8" s="53" t="b">
        <f t="shared" si="14"/>
        <v>0</v>
      </c>
      <c r="AS8" s="53" t="b">
        <f t="shared" si="15"/>
        <v>0</v>
      </c>
      <c r="AT8" s="53" t="b">
        <f t="shared" si="16"/>
        <v>0</v>
      </c>
      <c r="AU8" s="53" t="b">
        <f t="shared" si="17"/>
        <v>0</v>
      </c>
      <c r="AV8" s="54"/>
      <c r="AW8" s="56"/>
      <c r="AX8" s="56"/>
      <c r="AY8" s="56"/>
    </row>
    <row r="9" spans="1:51" s="35" customFormat="1" x14ac:dyDescent="0.25">
      <c r="A9" s="30"/>
      <c r="B9" s="30"/>
      <c r="C9" s="32"/>
      <c r="D9" s="32"/>
      <c r="E9" s="32"/>
      <c r="F9" s="33"/>
      <c r="G9" s="18"/>
      <c r="H9" s="34"/>
      <c r="I9" s="37" t="str">
        <f ca="1">IF(H9="","",VLOOKUP(H9,WeightClasses!$A$2:$E$18,IF(LEFT(G9,1)="F",IF(YEAR(TODAY())-F9&lt;24,4,2),IF(YEAR(TODAY())-F9&lt;24,5,3)),TRUE))</f>
        <v/>
      </c>
      <c r="J9" s="19"/>
      <c r="K9" s="46"/>
      <c r="L9" s="19"/>
      <c r="M9" s="38"/>
      <c r="N9" s="19"/>
      <c r="O9" s="38"/>
      <c r="P9" s="39" t="str">
        <f t="shared" si="0"/>
        <v/>
      </c>
      <c r="Q9" s="19"/>
      <c r="R9" s="38"/>
      <c r="S9" s="19"/>
      <c r="T9" s="38"/>
      <c r="U9" s="19"/>
      <c r="V9" s="38"/>
      <c r="W9" s="39" t="str">
        <f t="shared" si="2"/>
        <v/>
      </c>
      <c r="X9" s="19"/>
      <c r="Y9" s="38"/>
      <c r="Z9" s="19"/>
      <c r="AA9" s="38"/>
      <c r="AB9" s="19"/>
      <c r="AC9" s="38"/>
      <c r="AD9" s="39" t="str">
        <f t="shared" si="3"/>
        <v/>
      </c>
      <c r="AE9" s="40" t="str">
        <f t="shared" si="4"/>
        <v/>
      </c>
      <c r="AF9" s="48" t="str">
        <f t="shared" si="1"/>
        <v/>
      </c>
      <c r="AG9" s="52">
        <f>IF(OR(H9="",H9=0),0, ROUND(100/(VLOOKUP($G9,'IPF GL Formula'!$A$4:$F$11,3,FALSE)-VLOOKUP($G9,'IPF GL Formula'!$A$4:$F$11,4,FALSE)*EXP(-VLOOKUP($G9,'IPF GL Formula'!$A$4:$F$11,5,FALSE)*H9)),6))</f>
        <v>0</v>
      </c>
      <c r="AH9" s="56"/>
      <c r="AI9" s="57" t="b">
        <f t="shared" si="5"/>
        <v>0</v>
      </c>
      <c r="AJ9" s="57" t="b">
        <f t="shared" si="6"/>
        <v>0</v>
      </c>
      <c r="AK9" s="57" t="b">
        <f t="shared" si="7"/>
        <v>0</v>
      </c>
      <c r="AL9" s="57" t="b">
        <f t="shared" si="8"/>
        <v>0</v>
      </c>
      <c r="AM9" s="57" t="b">
        <f t="shared" si="9"/>
        <v>0</v>
      </c>
      <c r="AN9" s="57" t="b">
        <f t="shared" si="10"/>
        <v>0</v>
      </c>
      <c r="AO9" s="57" t="b">
        <f t="shared" si="11"/>
        <v>0</v>
      </c>
      <c r="AP9" s="57" t="b">
        <f t="shared" si="12"/>
        <v>0</v>
      </c>
      <c r="AQ9" s="57" t="b">
        <f t="shared" si="13"/>
        <v>0</v>
      </c>
      <c r="AR9" s="53" t="b">
        <f t="shared" si="14"/>
        <v>0</v>
      </c>
      <c r="AS9" s="53" t="b">
        <f t="shared" si="15"/>
        <v>0</v>
      </c>
      <c r="AT9" s="53" t="b">
        <f t="shared" si="16"/>
        <v>0</v>
      </c>
      <c r="AU9" s="53" t="b">
        <f t="shared" si="17"/>
        <v>0</v>
      </c>
      <c r="AV9" s="54"/>
      <c r="AW9" s="56"/>
      <c r="AX9" s="56"/>
      <c r="AY9" s="56"/>
    </row>
    <row r="10" spans="1:51" x14ac:dyDescent="0.25">
      <c r="A10" s="30"/>
      <c r="B10" s="30"/>
      <c r="C10" s="32"/>
      <c r="D10" s="32"/>
      <c r="E10" s="32"/>
      <c r="F10" s="33"/>
      <c r="G10" s="18"/>
      <c r="H10" s="34"/>
      <c r="I10" s="37" t="str">
        <f ca="1">IF(H10="","",VLOOKUP(H10,WeightClasses!$A$2:$E$18,IF(LEFT(G10,1)="F",IF(YEAR(TODAY())-F10&lt;24,4,2),IF(YEAR(TODAY())-F10&lt;24,5,3)),TRUE))</f>
        <v/>
      </c>
      <c r="J10" s="19"/>
      <c r="K10" s="46"/>
      <c r="L10" s="19"/>
      <c r="M10" s="38"/>
      <c r="N10" s="19"/>
      <c r="O10" s="38"/>
      <c r="P10" s="39" t="str">
        <f t="shared" si="0"/>
        <v/>
      </c>
      <c r="Q10" s="19"/>
      <c r="R10" s="38"/>
      <c r="S10" s="19"/>
      <c r="T10" s="38"/>
      <c r="U10" s="19"/>
      <c r="V10" s="38"/>
      <c r="W10" s="39" t="str">
        <f t="shared" si="2"/>
        <v/>
      </c>
      <c r="X10" s="19"/>
      <c r="Y10" s="38"/>
      <c r="Z10" s="19"/>
      <c r="AA10" s="38"/>
      <c r="AB10" s="19"/>
      <c r="AC10" s="38"/>
      <c r="AD10" s="39" t="str">
        <f t="shared" si="3"/>
        <v/>
      </c>
      <c r="AE10" s="40" t="str">
        <f t="shared" si="4"/>
        <v/>
      </c>
      <c r="AF10" s="48" t="str">
        <f t="shared" si="1"/>
        <v/>
      </c>
      <c r="AG10" s="52">
        <f>IF(OR(H10="",H10=0),0, ROUND(100/(VLOOKUP($G10,'IPF GL Formula'!$A$4:$F$11,3,FALSE)-VLOOKUP($G10,'IPF GL Formula'!$A$4:$F$11,4,FALSE)*EXP(-VLOOKUP($G10,'IPF GL Formula'!$A$4:$F$11,5,FALSE)*H10)),6))</f>
        <v>0</v>
      </c>
      <c r="AH10" s="9"/>
      <c r="AI10" s="57" t="b">
        <f t="shared" si="5"/>
        <v>0</v>
      </c>
      <c r="AJ10" s="57" t="b">
        <f t="shared" si="6"/>
        <v>0</v>
      </c>
      <c r="AK10" s="57" t="b">
        <f t="shared" si="7"/>
        <v>0</v>
      </c>
      <c r="AL10" s="57" t="b">
        <f t="shared" si="8"/>
        <v>0</v>
      </c>
      <c r="AM10" s="57" t="b">
        <f t="shared" si="9"/>
        <v>0</v>
      </c>
      <c r="AN10" s="57" t="b">
        <f t="shared" si="10"/>
        <v>0</v>
      </c>
      <c r="AO10" s="57" t="b">
        <f t="shared" si="11"/>
        <v>0</v>
      </c>
      <c r="AP10" s="57" t="b">
        <f t="shared" si="12"/>
        <v>0</v>
      </c>
      <c r="AQ10" s="57" t="b">
        <f t="shared" si="13"/>
        <v>0</v>
      </c>
      <c r="AR10" s="53" t="b">
        <f t="shared" si="14"/>
        <v>0</v>
      </c>
      <c r="AS10" s="53" t="b">
        <f t="shared" si="15"/>
        <v>0</v>
      </c>
      <c r="AT10" s="53" t="b">
        <f t="shared" si="16"/>
        <v>0</v>
      </c>
      <c r="AU10" s="53" t="b">
        <f t="shared" si="17"/>
        <v>0</v>
      </c>
      <c r="AV10" s="54"/>
      <c r="AW10" s="9"/>
      <c r="AX10" s="9"/>
      <c r="AY10" s="9"/>
    </row>
    <row r="11" spans="1:51" x14ac:dyDescent="0.25">
      <c r="A11" s="30"/>
      <c r="B11" s="30"/>
      <c r="C11" s="32"/>
      <c r="D11" s="32"/>
      <c r="E11" s="32"/>
      <c r="F11" s="33"/>
      <c r="G11" s="18"/>
      <c r="H11" s="34"/>
      <c r="I11" s="37" t="str">
        <f ca="1">IF(H11="","",VLOOKUP(H11,WeightClasses!$A$2:$E$18,IF(LEFT(G11,1)="F",IF(YEAR(TODAY())-F11&lt;24,4,2),IF(YEAR(TODAY())-F11&lt;24,5,3)),TRUE))</f>
        <v/>
      </c>
      <c r="J11" s="19"/>
      <c r="K11" s="46"/>
      <c r="L11" s="19"/>
      <c r="M11" s="38"/>
      <c r="N11" s="19"/>
      <c r="O11" s="38"/>
      <c r="P11" s="39" t="str">
        <f t="shared" si="0"/>
        <v/>
      </c>
      <c r="Q11" s="19"/>
      <c r="R11" s="38"/>
      <c r="S11" s="19"/>
      <c r="T11" s="38"/>
      <c r="U11" s="19"/>
      <c r="V11" s="38"/>
      <c r="W11" s="39" t="str">
        <f t="shared" si="2"/>
        <v/>
      </c>
      <c r="X11" s="19"/>
      <c r="Y11" s="38"/>
      <c r="Z11" s="19"/>
      <c r="AA11" s="38"/>
      <c r="AB11" s="19"/>
      <c r="AC11" s="38"/>
      <c r="AD11" s="39" t="str">
        <f t="shared" si="3"/>
        <v/>
      </c>
      <c r="AE11" s="40" t="str">
        <f t="shared" si="4"/>
        <v/>
      </c>
      <c r="AF11" s="48" t="str">
        <f t="shared" si="1"/>
        <v/>
      </c>
      <c r="AG11" s="52">
        <f>IF(OR(H11="",H11=0),0, ROUND(100/(VLOOKUP($G11,'IPF GL Formula'!$A$4:$F$11,3,FALSE)-VLOOKUP($G11,'IPF GL Formula'!$A$4:$F$11,4,FALSE)*EXP(-VLOOKUP($G11,'IPF GL Formula'!$A$4:$F$11,5,FALSE)*H11)),6))</f>
        <v>0</v>
      </c>
      <c r="AH11" s="9"/>
      <c r="AI11" s="57" t="b">
        <f t="shared" si="5"/>
        <v>0</v>
      </c>
      <c r="AJ11" s="57" t="b">
        <f t="shared" si="6"/>
        <v>0</v>
      </c>
      <c r="AK11" s="57" t="b">
        <f t="shared" si="7"/>
        <v>0</v>
      </c>
      <c r="AL11" s="57" t="b">
        <f t="shared" si="8"/>
        <v>0</v>
      </c>
      <c r="AM11" s="57" t="b">
        <f t="shared" si="9"/>
        <v>0</v>
      </c>
      <c r="AN11" s="57" t="b">
        <f t="shared" si="10"/>
        <v>0</v>
      </c>
      <c r="AO11" s="57" t="b">
        <f t="shared" si="11"/>
        <v>0</v>
      </c>
      <c r="AP11" s="57" t="b">
        <f t="shared" si="12"/>
        <v>0</v>
      </c>
      <c r="AQ11" s="57" t="b">
        <f t="shared" si="13"/>
        <v>0</v>
      </c>
      <c r="AR11" s="53" t="b">
        <f t="shared" si="14"/>
        <v>0</v>
      </c>
      <c r="AS11" s="53" t="b">
        <f t="shared" si="15"/>
        <v>0</v>
      </c>
      <c r="AT11" s="53" t="b">
        <f t="shared" si="16"/>
        <v>0</v>
      </c>
      <c r="AU11" s="53" t="b">
        <f t="shared" si="17"/>
        <v>0</v>
      </c>
      <c r="AV11" s="54"/>
      <c r="AW11" s="9"/>
      <c r="AX11" s="9"/>
      <c r="AY11" s="9"/>
    </row>
    <row r="12" spans="1:51" x14ac:dyDescent="0.25">
      <c r="A12" s="30"/>
      <c r="B12" s="30"/>
      <c r="C12" s="32"/>
      <c r="D12" s="32"/>
      <c r="E12" s="32"/>
      <c r="F12" s="33"/>
      <c r="G12" s="18"/>
      <c r="H12" s="34"/>
      <c r="I12" s="37" t="str">
        <f ca="1">IF(H12="","",VLOOKUP(H12,WeightClasses!$A$2:$E$18,IF(LEFT(G12,1)="F",IF(YEAR(TODAY())-F12&lt;24,4,2),IF(YEAR(TODAY())-F12&lt;24,5,3)),TRUE))</f>
        <v/>
      </c>
      <c r="J12" s="19"/>
      <c r="K12" s="38"/>
      <c r="L12" s="19"/>
      <c r="M12" s="38"/>
      <c r="N12" s="19"/>
      <c r="O12" s="38"/>
      <c r="P12" s="39" t="str">
        <f>IF(OR(K12&lt;&gt;0,M12&lt;&gt;0,O12&lt;&gt;0),MAX(IF(J12=$S$1,K12,0),IF(L12=$S$1,M12,0),IF(N12=$S$1,O12,0)),"")</f>
        <v/>
      </c>
      <c r="Q12" s="19"/>
      <c r="R12" s="38"/>
      <c r="S12" s="19"/>
      <c r="T12" s="38"/>
      <c r="U12" s="19"/>
      <c r="V12" s="38"/>
      <c r="W12" s="39" t="str">
        <f t="shared" si="2"/>
        <v/>
      </c>
      <c r="X12" s="19"/>
      <c r="Y12" s="38"/>
      <c r="Z12" s="19"/>
      <c r="AA12" s="38"/>
      <c r="AB12" s="19"/>
      <c r="AC12" s="38"/>
      <c r="AD12" s="39" t="str">
        <f t="shared" si="3"/>
        <v/>
      </c>
      <c r="AE12" s="40" t="str">
        <f t="shared" si="4"/>
        <v/>
      </c>
      <c r="AF12" s="48" t="str">
        <f>IF(AND(AE12&lt;&gt;"",ISNUMBER(AE12)),AG12*AE12,"")</f>
        <v/>
      </c>
      <c r="AG12" s="52">
        <f>IF(OR(H12="",H12=0),0, ROUND(100/(VLOOKUP($G12,'IPF GL Formula'!$A$4:$F$11,3,FALSE)-VLOOKUP($G12,'IPF GL Formula'!$A$4:$F$11,4,FALSE)*EXP(-VLOOKUP($G12,'IPF GL Formula'!$A$4:$F$11,5,FALSE)*H12)),6))</f>
        <v>0</v>
      </c>
      <c r="AH12" s="9"/>
      <c r="AI12" s="57" t="b">
        <f t="shared" si="5"/>
        <v>0</v>
      </c>
      <c r="AJ12" s="57" t="b">
        <f t="shared" si="6"/>
        <v>0</v>
      </c>
      <c r="AK12" s="57" t="b">
        <f t="shared" si="7"/>
        <v>0</v>
      </c>
      <c r="AL12" s="57" t="b">
        <f t="shared" si="8"/>
        <v>0</v>
      </c>
      <c r="AM12" s="57" t="b">
        <f t="shared" si="9"/>
        <v>0</v>
      </c>
      <c r="AN12" s="57" t="b">
        <f t="shared" si="10"/>
        <v>0</v>
      </c>
      <c r="AO12" s="57" t="b">
        <f t="shared" si="11"/>
        <v>0</v>
      </c>
      <c r="AP12" s="57" t="b">
        <f t="shared" si="12"/>
        <v>0</v>
      </c>
      <c r="AQ12" s="57" t="b">
        <f t="shared" si="13"/>
        <v>0</v>
      </c>
      <c r="AR12" s="53" t="b">
        <f t="shared" si="14"/>
        <v>0</v>
      </c>
      <c r="AS12" s="53" t="b">
        <f t="shared" si="15"/>
        <v>0</v>
      </c>
      <c r="AT12" s="53" t="b">
        <f t="shared" si="16"/>
        <v>0</v>
      </c>
      <c r="AU12" s="53" t="b">
        <f t="shared" si="17"/>
        <v>0</v>
      </c>
      <c r="AV12" s="54"/>
      <c r="AW12" s="9"/>
      <c r="AX12" s="9"/>
      <c r="AY12" s="9"/>
    </row>
    <row r="13" spans="1:51" x14ac:dyDescent="0.25">
      <c r="A13" s="30"/>
      <c r="B13" s="30"/>
      <c r="C13" s="32"/>
      <c r="D13" s="32"/>
      <c r="E13" s="32"/>
      <c r="F13" s="33"/>
      <c r="G13" s="18"/>
      <c r="H13" s="34"/>
      <c r="I13" s="37" t="str">
        <f ca="1">IF(H13="","",VLOOKUP(H13,WeightClasses!$A$2:$E$18,IF(LEFT(G13,1)="F",IF(YEAR(TODAY())-F13&lt;24,4,2),IF(YEAR(TODAY())-F13&lt;24,5,3)),TRUE))</f>
        <v/>
      </c>
      <c r="J13" s="19"/>
      <c r="K13" s="38"/>
      <c r="L13" s="19"/>
      <c r="M13" s="38"/>
      <c r="N13" s="19"/>
      <c r="O13" s="38"/>
      <c r="P13" s="39" t="str">
        <f t="shared" ref="P13:P76" si="18">IF(OR(K13&lt;&gt;0,M13&lt;&gt;0,O13&lt;&gt;0),MAX(IF(J13=$S$1,K13,0),IF(L13=$S$1,M13,0),IF(N13=$S$1,O13,0)),"")</f>
        <v/>
      </c>
      <c r="Q13" s="19"/>
      <c r="R13" s="38"/>
      <c r="S13" s="19"/>
      <c r="T13" s="38"/>
      <c r="U13" s="19"/>
      <c r="V13" s="38"/>
      <c r="W13" s="39" t="str">
        <f t="shared" si="2"/>
        <v/>
      </c>
      <c r="X13" s="19"/>
      <c r="Y13" s="38"/>
      <c r="Z13" s="19"/>
      <c r="AA13" s="38"/>
      <c r="AB13" s="19"/>
      <c r="AC13" s="38"/>
      <c r="AD13" s="39" t="str">
        <f t="shared" si="3"/>
        <v/>
      </c>
      <c r="AE13" s="40" t="str">
        <f t="shared" si="4"/>
        <v/>
      </c>
      <c r="AF13" s="48" t="str">
        <f t="shared" ref="AF13:AF76" si="19">IF(AND(AE13&lt;&gt;"",ISNUMBER(AE13)),AG13*AE13,"")</f>
        <v/>
      </c>
      <c r="AG13" s="52">
        <f>IF(OR(H13="",H13=0),0, ROUND(100/(VLOOKUP($G13,'IPF GL Formula'!$A$4:$F$11,3,FALSE)-VLOOKUP($G13,'IPF GL Formula'!$A$4:$F$11,4,FALSE)*EXP(-VLOOKUP($G13,'IPF GL Formula'!$A$4:$F$11,5,FALSE)*H13)),6))</f>
        <v>0</v>
      </c>
      <c r="AH13" s="9"/>
      <c r="AI13" s="57" t="b">
        <f t="shared" si="5"/>
        <v>0</v>
      </c>
      <c r="AJ13" s="57" t="b">
        <f t="shared" si="6"/>
        <v>0</v>
      </c>
      <c r="AK13" s="57" t="b">
        <f t="shared" si="7"/>
        <v>0</v>
      </c>
      <c r="AL13" s="57" t="b">
        <f t="shared" si="8"/>
        <v>0</v>
      </c>
      <c r="AM13" s="57" t="b">
        <f t="shared" si="9"/>
        <v>0</v>
      </c>
      <c r="AN13" s="57" t="b">
        <f t="shared" si="10"/>
        <v>0</v>
      </c>
      <c r="AO13" s="57" t="b">
        <f t="shared" si="11"/>
        <v>0</v>
      </c>
      <c r="AP13" s="57" t="b">
        <f t="shared" si="12"/>
        <v>0</v>
      </c>
      <c r="AQ13" s="57" t="b">
        <f t="shared" si="13"/>
        <v>0</v>
      </c>
      <c r="AR13" s="53" t="b">
        <f t="shared" si="14"/>
        <v>0</v>
      </c>
      <c r="AS13" s="53" t="b">
        <f t="shared" si="15"/>
        <v>0</v>
      </c>
      <c r="AT13" s="53" t="b">
        <f t="shared" si="16"/>
        <v>0</v>
      </c>
      <c r="AU13" s="53" t="b">
        <f t="shared" si="17"/>
        <v>0</v>
      </c>
      <c r="AV13" s="54"/>
      <c r="AW13" s="9"/>
      <c r="AX13" s="9"/>
      <c r="AY13" s="9"/>
    </row>
    <row r="14" spans="1:51" x14ac:dyDescent="0.25">
      <c r="A14" s="30"/>
      <c r="B14" s="30"/>
      <c r="C14" s="32"/>
      <c r="D14" s="32"/>
      <c r="E14" s="32"/>
      <c r="F14" s="33"/>
      <c r="G14" s="18"/>
      <c r="H14" s="34"/>
      <c r="I14" s="37" t="str">
        <f ca="1">IF(H14="","",VLOOKUP(H14,WeightClasses!$A$2:$E$18,IF(LEFT(G14,1)="F",IF(YEAR(TODAY())-F14&lt;24,4,2),IF(YEAR(TODAY())-F14&lt;24,5,3)),TRUE))</f>
        <v/>
      </c>
      <c r="J14" s="19"/>
      <c r="K14" s="38"/>
      <c r="L14" s="19"/>
      <c r="M14" s="38"/>
      <c r="N14" s="19"/>
      <c r="O14" s="38"/>
      <c r="P14" s="39" t="str">
        <f t="shared" si="18"/>
        <v/>
      </c>
      <c r="Q14" s="19"/>
      <c r="R14" s="38"/>
      <c r="S14" s="19"/>
      <c r="T14" s="38"/>
      <c r="U14" s="19"/>
      <c r="V14" s="38"/>
      <c r="W14" s="39" t="str">
        <f t="shared" si="2"/>
        <v/>
      </c>
      <c r="X14" s="19"/>
      <c r="Y14" s="38"/>
      <c r="Z14" s="19"/>
      <c r="AA14" s="38"/>
      <c r="AB14" s="19"/>
      <c r="AC14" s="38"/>
      <c r="AD14" s="39" t="str">
        <f t="shared" si="3"/>
        <v/>
      </c>
      <c r="AE14" s="40" t="str">
        <f t="shared" si="4"/>
        <v/>
      </c>
      <c r="AF14" s="48" t="str">
        <f t="shared" si="19"/>
        <v/>
      </c>
      <c r="AG14" s="52">
        <f>IF(OR(H14="",H14=0),0, ROUND(100/(VLOOKUP($G14,'IPF GL Formula'!$A$4:$F$11,3,FALSE)-VLOOKUP($G14,'IPF GL Formula'!$A$4:$F$11,4,FALSE)*EXP(-VLOOKUP($G14,'IPF GL Formula'!$A$4:$F$11,5,FALSE)*H14)),6))</f>
        <v>0</v>
      </c>
      <c r="AH14" s="9"/>
      <c r="AI14" s="57" t="b">
        <f t="shared" si="5"/>
        <v>0</v>
      </c>
      <c r="AJ14" s="57" t="b">
        <f t="shared" si="6"/>
        <v>0</v>
      </c>
      <c r="AK14" s="57" t="b">
        <f t="shared" si="7"/>
        <v>0</v>
      </c>
      <c r="AL14" s="57" t="b">
        <f t="shared" si="8"/>
        <v>0</v>
      </c>
      <c r="AM14" s="57" t="b">
        <f t="shared" si="9"/>
        <v>0</v>
      </c>
      <c r="AN14" s="57" t="b">
        <f t="shared" si="10"/>
        <v>0</v>
      </c>
      <c r="AO14" s="57" t="b">
        <f t="shared" si="11"/>
        <v>0</v>
      </c>
      <c r="AP14" s="57" t="b">
        <f t="shared" si="12"/>
        <v>0</v>
      </c>
      <c r="AQ14" s="57" t="b">
        <f t="shared" si="13"/>
        <v>0</v>
      </c>
      <c r="AR14" s="53" t="b">
        <f t="shared" si="14"/>
        <v>0</v>
      </c>
      <c r="AS14" s="53" t="b">
        <f t="shared" si="15"/>
        <v>0</v>
      </c>
      <c r="AT14" s="53" t="b">
        <f t="shared" si="16"/>
        <v>0</v>
      </c>
      <c r="AU14" s="53" t="b">
        <f t="shared" si="17"/>
        <v>0</v>
      </c>
      <c r="AV14" s="54"/>
      <c r="AW14" s="9"/>
      <c r="AX14" s="9"/>
      <c r="AY14" s="9"/>
    </row>
    <row r="15" spans="1:51" x14ac:dyDescent="0.25">
      <c r="A15" s="30"/>
      <c r="B15" s="30"/>
      <c r="C15" s="32"/>
      <c r="D15" s="32"/>
      <c r="E15" s="32"/>
      <c r="F15" s="33"/>
      <c r="G15" s="18"/>
      <c r="H15" s="34"/>
      <c r="I15" s="37" t="str">
        <f ca="1">IF(H15="","",VLOOKUP(H15,WeightClasses!$A$2:$E$18,IF(LEFT(G15,1)="F",IF(YEAR(TODAY())-F15&lt;24,4,2),IF(YEAR(TODAY())-F15&lt;24,5,3)),TRUE))</f>
        <v/>
      </c>
      <c r="J15" s="19"/>
      <c r="K15" s="38"/>
      <c r="L15" s="19"/>
      <c r="M15" s="38"/>
      <c r="N15" s="19"/>
      <c r="O15" s="38"/>
      <c r="P15" s="39" t="str">
        <f t="shared" si="18"/>
        <v/>
      </c>
      <c r="Q15" s="19"/>
      <c r="R15" s="38"/>
      <c r="S15" s="19"/>
      <c r="T15" s="38"/>
      <c r="U15" s="19"/>
      <c r="V15" s="38"/>
      <c r="W15" s="39" t="str">
        <f t="shared" si="2"/>
        <v/>
      </c>
      <c r="X15" s="19"/>
      <c r="Y15" s="38"/>
      <c r="Z15" s="19"/>
      <c r="AA15" s="38"/>
      <c r="AB15" s="19"/>
      <c r="AC15" s="38"/>
      <c r="AD15" s="39" t="str">
        <f t="shared" si="3"/>
        <v/>
      </c>
      <c r="AE15" s="40" t="str">
        <f t="shared" si="4"/>
        <v/>
      </c>
      <c r="AF15" s="48" t="str">
        <f t="shared" si="19"/>
        <v/>
      </c>
      <c r="AG15" s="52">
        <f>IF(OR(H15="",H15=0),0, ROUND(100/(VLOOKUP($G15,'IPF GL Formula'!$A$4:$F$11,3,FALSE)-VLOOKUP($G15,'IPF GL Formula'!$A$4:$F$11,4,FALSE)*EXP(-VLOOKUP($G15,'IPF GL Formula'!$A$4:$F$11,5,FALSE)*H15)),6))</f>
        <v>0</v>
      </c>
      <c r="AH15" s="9"/>
      <c r="AI15" s="57" t="b">
        <f t="shared" si="5"/>
        <v>0</v>
      </c>
      <c r="AJ15" s="57" t="b">
        <f t="shared" si="6"/>
        <v>0</v>
      </c>
      <c r="AK15" s="57" t="b">
        <f t="shared" si="7"/>
        <v>0</v>
      </c>
      <c r="AL15" s="57" t="b">
        <f t="shared" si="8"/>
        <v>0</v>
      </c>
      <c r="AM15" s="57" t="b">
        <f t="shared" si="9"/>
        <v>0</v>
      </c>
      <c r="AN15" s="57" t="b">
        <f t="shared" si="10"/>
        <v>0</v>
      </c>
      <c r="AO15" s="57" t="b">
        <f t="shared" si="11"/>
        <v>0</v>
      </c>
      <c r="AP15" s="57" t="b">
        <f t="shared" si="12"/>
        <v>0</v>
      </c>
      <c r="AQ15" s="57" t="b">
        <f t="shared" si="13"/>
        <v>0</v>
      </c>
      <c r="AR15" s="53" t="b">
        <f t="shared" si="14"/>
        <v>0</v>
      </c>
      <c r="AS15" s="53" t="b">
        <f t="shared" si="15"/>
        <v>0</v>
      </c>
      <c r="AT15" s="53" t="b">
        <f t="shared" si="16"/>
        <v>0</v>
      </c>
      <c r="AU15" s="53" t="b">
        <f t="shared" si="17"/>
        <v>0</v>
      </c>
      <c r="AV15" s="54"/>
      <c r="AW15" s="9"/>
      <c r="AX15" s="9"/>
      <c r="AY15" s="9"/>
    </row>
    <row r="16" spans="1:51" x14ac:dyDescent="0.25">
      <c r="A16" s="30"/>
      <c r="B16" s="30"/>
      <c r="C16" s="32"/>
      <c r="D16" s="32"/>
      <c r="E16" s="32"/>
      <c r="F16" s="33"/>
      <c r="G16" s="18"/>
      <c r="H16" s="34"/>
      <c r="I16" s="37" t="str">
        <f ca="1">IF(H16="","",VLOOKUP(H16,WeightClasses!$A$2:$E$18,IF(LEFT(G16,1)="F",IF(YEAR(TODAY())-F16&lt;24,4,2),IF(YEAR(TODAY())-F16&lt;24,5,3)),TRUE))</f>
        <v/>
      </c>
      <c r="J16" s="19"/>
      <c r="K16" s="38"/>
      <c r="L16" s="19"/>
      <c r="M16" s="38"/>
      <c r="N16" s="19"/>
      <c r="O16" s="38"/>
      <c r="P16" s="39" t="str">
        <f t="shared" si="18"/>
        <v/>
      </c>
      <c r="Q16" s="19"/>
      <c r="R16" s="38"/>
      <c r="S16" s="19"/>
      <c r="T16" s="38"/>
      <c r="U16" s="19"/>
      <c r="V16" s="38"/>
      <c r="W16" s="39" t="str">
        <f t="shared" si="2"/>
        <v/>
      </c>
      <c r="X16" s="19"/>
      <c r="Y16" s="38"/>
      <c r="Z16" s="19"/>
      <c r="AA16" s="38"/>
      <c r="AB16" s="19"/>
      <c r="AC16" s="38"/>
      <c r="AD16" s="39" t="str">
        <f t="shared" si="3"/>
        <v/>
      </c>
      <c r="AE16" s="40" t="str">
        <f t="shared" si="4"/>
        <v/>
      </c>
      <c r="AF16" s="48" t="str">
        <f t="shared" si="19"/>
        <v/>
      </c>
      <c r="AG16" s="52">
        <f>IF(OR(H16="",H16=0),0, ROUND(100/(VLOOKUP($G16,'IPF GL Formula'!$A$4:$F$11,3,FALSE)-VLOOKUP($G16,'IPF GL Formula'!$A$4:$F$11,4,FALSE)*EXP(-VLOOKUP($G16,'IPF GL Formula'!$A$4:$F$11,5,FALSE)*H16)),6))</f>
        <v>0</v>
      </c>
      <c r="AH16" s="9"/>
      <c r="AI16" s="57" t="b">
        <f t="shared" si="5"/>
        <v>0</v>
      </c>
      <c r="AJ16" s="57" t="b">
        <f t="shared" si="6"/>
        <v>0</v>
      </c>
      <c r="AK16" s="57" t="b">
        <f t="shared" si="7"/>
        <v>0</v>
      </c>
      <c r="AL16" s="57" t="b">
        <f t="shared" si="8"/>
        <v>0</v>
      </c>
      <c r="AM16" s="57" t="b">
        <f t="shared" si="9"/>
        <v>0</v>
      </c>
      <c r="AN16" s="57" t="b">
        <f t="shared" si="10"/>
        <v>0</v>
      </c>
      <c r="AO16" s="57" t="b">
        <f t="shared" si="11"/>
        <v>0</v>
      </c>
      <c r="AP16" s="57" t="b">
        <f t="shared" si="12"/>
        <v>0</v>
      </c>
      <c r="AQ16" s="57" t="b">
        <f t="shared" si="13"/>
        <v>0</v>
      </c>
      <c r="AR16" s="53" t="b">
        <f t="shared" si="14"/>
        <v>0</v>
      </c>
      <c r="AS16" s="53" t="b">
        <f t="shared" si="15"/>
        <v>0</v>
      </c>
      <c r="AT16" s="53" t="b">
        <f t="shared" si="16"/>
        <v>0</v>
      </c>
      <c r="AU16" s="53" t="b">
        <f t="shared" si="17"/>
        <v>0</v>
      </c>
      <c r="AV16" s="54"/>
      <c r="AW16" s="9"/>
      <c r="AX16" s="9"/>
      <c r="AY16" s="9"/>
    </row>
    <row r="17" spans="1:51" x14ac:dyDescent="0.25">
      <c r="A17" s="15"/>
      <c r="B17" s="15"/>
      <c r="C17" s="16"/>
      <c r="D17" s="16"/>
      <c r="E17" s="16"/>
      <c r="F17" s="17"/>
      <c r="G17" s="18"/>
      <c r="H17" s="18"/>
      <c r="I17" s="37" t="str">
        <f ca="1">IF(H17="","",VLOOKUP(H17,WeightClasses!$A$2:$E$18,IF(LEFT(G17,1)="F",IF(YEAR(TODAY())-F17&lt;24,4,2),IF(YEAR(TODAY())-F17&lt;24,5,3)),TRUE))</f>
        <v/>
      </c>
      <c r="J17" s="19"/>
      <c r="K17" s="38"/>
      <c r="L17" s="19"/>
      <c r="M17" s="38"/>
      <c r="N17" s="19"/>
      <c r="O17" s="38"/>
      <c r="P17" s="39" t="str">
        <f t="shared" si="18"/>
        <v/>
      </c>
      <c r="Q17" s="19"/>
      <c r="R17" s="38"/>
      <c r="S17" s="19"/>
      <c r="T17" s="38"/>
      <c r="U17" s="19"/>
      <c r="V17" s="38"/>
      <c r="W17" s="39" t="str">
        <f t="shared" si="2"/>
        <v/>
      </c>
      <c r="X17" s="19"/>
      <c r="Y17" s="38"/>
      <c r="Z17" s="19"/>
      <c r="AA17" s="38"/>
      <c r="AB17" s="19"/>
      <c r="AC17" s="38"/>
      <c r="AD17" s="39" t="str">
        <f t="shared" si="3"/>
        <v/>
      </c>
      <c r="AE17" s="40" t="str">
        <f t="shared" si="4"/>
        <v/>
      </c>
      <c r="AF17" s="48" t="str">
        <f t="shared" si="19"/>
        <v/>
      </c>
      <c r="AG17" s="52">
        <f>IF(OR(H17="",H17=0),0, ROUND(100/(VLOOKUP($G17,'IPF GL Formula'!$A$4:$F$11,3,FALSE)-VLOOKUP($G17,'IPF GL Formula'!$A$4:$F$11,4,FALSE)*EXP(-VLOOKUP($G17,'IPF GL Formula'!$A$4:$F$11,5,FALSE)*H17)),6))</f>
        <v>0</v>
      </c>
      <c r="AH17" s="9"/>
      <c r="AI17" s="57" t="b">
        <f t="shared" si="5"/>
        <v>0</v>
      </c>
      <c r="AJ17" s="57" t="b">
        <f t="shared" si="6"/>
        <v>0</v>
      </c>
      <c r="AK17" s="57" t="b">
        <f t="shared" si="7"/>
        <v>0</v>
      </c>
      <c r="AL17" s="57" t="b">
        <f t="shared" si="8"/>
        <v>0</v>
      </c>
      <c r="AM17" s="57" t="b">
        <f t="shared" si="9"/>
        <v>0</v>
      </c>
      <c r="AN17" s="57" t="b">
        <f t="shared" si="10"/>
        <v>0</v>
      </c>
      <c r="AO17" s="57" t="b">
        <f t="shared" si="11"/>
        <v>0</v>
      </c>
      <c r="AP17" s="57" t="b">
        <f t="shared" si="12"/>
        <v>0</v>
      </c>
      <c r="AQ17" s="57" t="b">
        <f t="shared" si="13"/>
        <v>0</v>
      </c>
      <c r="AR17" s="53" t="b">
        <f t="shared" si="14"/>
        <v>0</v>
      </c>
      <c r="AS17" s="53" t="b">
        <f t="shared" si="15"/>
        <v>0</v>
      </c>
      <c r="AT17" s="53" t="b">
        <f t="shared" si="16"/>
        <v>0</v>
      </c>
      <c r="AU17" s="53" t="b">
        <f t="shared" si="17"/>
        <v>0</v>
      </c>
      <c r="AV17" s="54"/>
      <c r="AW17" s="9"/>
      <c r="AX17" s="9"/>
      <c r="AY17" s="9"/>
    </row>
    <row r="18" spans="1:51" x14ac:dyDescent="0.25">
      <c r="A18" s="15"/>
      <c r="B18" s="15"/>
      <c r="C18" s="16"/>
      <c r="D18" s="16"/>
      <c r="E18" s="16"/>
      <c r="F18" s="17"/>
      <c r="G18" s="18"/>
      <c r="H18" s="18"/>
      <c r="I18" s="37" t="str">
        <f ca="1">IF(H18="","",VLOOKUP(H18,WeightClasses!$A$2:$E$18,IF(LEFT(G18,1)="F",IF(YEAR(TODAY())-F18&lt;24,4,2),IF(YEAR(TODAY())-F18&lt;24,5,3)),TRUE))</f>
        <v/>
      </c>
      <c r="J18" s="19"/>
      <c r="K18" s="38"/>
      <c r="L18" s="19"/>
      <c r="M18" s="38"/>
      <c r="N18" s="19"/>
      <c r="O18" s="38"/>
      <c r="P18" s="39" t="str">
        <f t="shared" si="18"/>
        <v/>
      </c>
      <c r="Q18" s="19"/>
      <c r="R18" s="38"/>
      <c r="S18" s="19"/>
      <c r="T18" s="38"/>
      <c r="U18" s="19"/>
      <c r="V18" s="38"/>
      <c r="W18" s="39" t="str">
        <f t="shared" si="2"/>
        <v/>
      </c>
      <c r="X18" s="19"/>
      <c r="Y18" s="38"/>
      <c r="Z18" s="19"/>
      <c r="AA18" s="38"/>
      <c r="AB18" s="19"/>
      <c r="AC18" s="38"/>
      <c r="AD18" s="39" t="str">
        <f t="shared" si="3"/>
        <v/>
      </c>
      <c r="AE18" s="40" t="str">
        <f t="shared" si="4"/>
        <v/>
      </c>
      <c r="AF18" s="48" t="str">
        <f t="shared" si="19"/>
        <v/>
      </c>
      <c r="AG18" s="52">
        <f>IF(OR(H18="",H18=0),0, ROUND(100/(VLOOKUP($G18,'IPF GL Formula'!$A$4:$F$11,3,FALSE)-VLOOKUP($G18,'IPF GL Formula'!$A$4:$F$11,4,FALSE)*EXP(-VLOOKUP($G18,'IPF GL Formula'!$A$4:$F$11,5,FALSE)*H18)),6))</f>
        <v>0</v>
      </c>
      <c r="AH18" s="9"/>
      <c r="AI18" s="57" t="b">
        <f t="shared" si="5"/>
        <v>0</v>
      </c>
      <c r="AJ18" s="57" t="b">
        <f t="shared" si="6"/>
        <v>0</v>
      </c>
      <c r="AK18" s="57" t="b">
        <f t="shared" si="7"/>
        <v>0</v>
      </c>
      <c r="AL18" s="57" t="b">
        <f t="shared" si="8"/>
        <v>0</v>
      </c>
      <c r="AM18" s="57" t="b">
        <f t="shared" si="9"/>
        <v>0</v>
      </c>
      <c r="AN18" s="57" t="b">
        <f t="shared" si="10"/>
        <v>0</v>
      </c>
      <c r="AO18" s="57" t="b">
        <f t="shared" si="11"/>
        <v>0</v>
      </c>
      <c r="AP18" s="57" t="b">
        <f t="shared" si="12"/>
        <v>0</v>
      </c>
      <c r="AQ18" s="57" t="b">
        <f t="shared" si="13"/>
        <v>0</v>
      </c>
      <c r="AR18" s="53" t="b">
        <f t="shared" si="14"/>
        <v>0</v>
      </c>
      <c r="AS18" s="53" t="b">
        <f t="shared" si="15"/>
        <v>0</v>
      </c>
      <c r="AT18" s="53" t="b">
        <f t="shared" si="16"/>
        <v>0</v>
      </c>
      <c r="AU18" s="53" t="b">
        <f t="shared" si="17"/>
        <v>0</v>
      </c>
      <c r="AV18" s="54"/>
      <c r="AW18" s="9"/>
      <c r="AX18" s="9"/>
      <c r="AY18" s="9"/>
    </row>
    <row r="19" spans="1:51" x14ac:dyDescent="0.25">
      <c r="A19" s="15"/>
      <c r="B19" s="15"/>
      <c r="C19" s="16"/>
      <c r="D19" s="16"/>
      <c r="E19" s="16"/>
      <c r="F19" s="17"/>
      <c r="G19" s="18"/>
      <c r="H19" s="18"/>
      <c r="I19" s="37" t="str">
        <f ca="1">IF(H19="","",VLOOKUP(H19,WeightClasses!$A$2:$E$18,IF(LEFT(G19,1)="F",IF(YEAR(TODAY())-F19&lt;24,4,2),IF(YEAR(TODAY())-F19&lt;24,5,3)),TRUE))</f>
        <v/>
      </c>
      <c r="J19" s="19"/>
      <c r="K19" s="38"/>
      <c r="L19" s="19"/>
      <c r="M19" s="38"/>
      <c r="N19" s="19"/>
      <c r="O19" s="38"/>
      <c r="P19" s="39" t="str">
        <f t="shared" si="18"/>
        <v/>
      </c>
      <c r="Q19" s="19"/>
      <c r="R19" s="38"/>
      <c r="S19" s="19"/>
      <c r="T19" s="38"/>
      <c r="U19" s="19"/>
      <c r="V19" s="38"/>
      <c r="W19" s="39" t="str">
        <f t="shared" si="2"/>
        <v/>
      </c>
      <c r="X19" s="19"/>
      <c r="Y19" s="38"/>
      <c r="Z19" s="19"/>
      <c r="AA19" s="38"/>
      <c r="AB19" s="19"/>
      <c r="AC19" s="38"/>
      <c r="AD19" s="39" t="str">
        <f t="shared" si="3"/>
        <v/>
      </c>
      <c r="AE19" s="40" t="str">
        <f t="shared" si="4"/>
        <v/>
      </c>
      <c r="AF19" s="48" t="str">
        <f t="shared" si="19"/>
        <v/>
      </c>
      <c r="AG19" s="52">
        <f>IF(OR(H19="",H19=0),0, ROUND(100/(VLOOKUP($G19,'IPF GL Formula'!$A$4:$F$11,3,FALSE)-VLOOKUP($G19,'IPF GL Formula'!$A$4:$F$11,4,FALSE)*EXP(-VLOOKUP($G19,'IPF GL Formula'!$A$4:$F$11,5,FALSE)*H19)),6))</f>
        <v>0</v>
      </c>
      <c r="AH19" s="9"/>
      <c r="AI19" s="57" t="b">
        <f t="shared" si="5"/>
        <v>0</v>
      </c>
      <c r="AJ19" s="57" t="b">
        <f t="shared" si="6"/>
        <v>0</v>
      </c>
      <c r="AK19" s="57" t="b">
        <f t="shared" si="7"/>
        <v>0</v>
      </c>
      <c r="AL19" s="57" t="b">
        <f t="shared" si="8"/>
        <v>0</v>
      </c>
      <c r="AM19" s="57" t="b">
        <f t="shared" si="9"/>
        <v>0</v>
      </c>
      <c r="AN19" s="57" t="b">
        <f t="shared" si="10"/>
        <v>0</v>
      </c>
      <c r="AO19" s="57" t="b">
        <f t="shared" si="11"/>
        <v>0</v>
      </c>
      <c r="AP19" s="57" t="b">
        <f t="shared" si="12"/>
        <v>0</v>
      </c>
      <c r="AQ19" s="57" t="b">
        <f t="shared" si="13"/>
        <v>0</v>
      </c>
      <c r="AR19" s="53" t="b">
        <f t="shared" si="14"/>
        <v>0</v>
      </c>
      <c r="AS19" s="53" t="b">
        <f t="shared" si="15"/>
        <v>0</v>
      </c>
      <c r="AT19" s="53" t="b">
        <f t="shared" si="16"/>
        <v>0</v>
      </c>
      <c r="AU19" s="53" t="b">
        <f t="shared" si="17"/>
        <v>0</v>
      </c>
      <c r="AV19" s="54"/>
      <c r="AW19" s="9"/>
      <c r="AX19" s="9"/>
      <c r="AY19" s="9"/>
    </row>
    <row r="20" spans="1:51" x14ac:dyDescent="0.25">
      <c r="A20" s="15"/>
      <c r="B20" s="15"/>
      <c r="C20" s="16"/>
      <c r="D20" s="16"/>
      <c r="E20" s="16"/>
      <c r="F20" s="17"/>
      <c r="G20" s="18"/>
      <c r="H20" s="18"/>
      <c r="I20" s="37" t="str">
        <f ca="1">IF(H20="","",VLOOKUP(H20,WeightClasses!$A$2:$E$18,IF(LEFT(G20,1)="F",IF(YEAR(TODAY())-F20&lt;24,4,2),IF(YEAR(TODAY())-F20&lt;24,5,3)),TRUE))</f>
        <v/>
      </c>
      <c r="J20" s="19"/>
      <c r="K20" s="38"/>
      <c r="L20" s="19"/>
      <c r="M20" s="38"/>
      <c r="N20" s="19"/>
      <c r="O20" s="38"/>
      <c r="P20" s="39" t="str">
        <f t="shared" si="18"/>
        <v/>
      </c>
      <c r="Q20" s="19"/>
      <c r="R20" s="38"/>
      <c r="S20" s="19"/>
      <c r="T20" s="38"/>
      <c r="U20" s="19"/>
      <c r="V20" s="38"/>
      <c r="W20" s="39" t="str">
        <f t="shared" si="2"/>
        <v/>
      </c>
      <c r="X20" s="19"/>
      <c r="Y20" s="38"/>
      <c r="Z20" s="19"/>
      <c r="AA20" s="38"/>
      <c r="AB20" s="19"/>
      <c r="AC20" s="38"/>
      <c r="AD20" s="39" t="str">
        <f t="shared" si="3"/>
        <v/>
      </c>
      <c r="AE20" s="40" t="str">
        <f t="shared" si="4"/>
        <v/>
      </c>
      <c r="AF20" s="48" t="str">
        <f t="shared" si="19"/>
        <v/>
      </c>
      <c r="AG20" s="52">
        <f>IF(OR(H20="",H20=0),0, ROUND(100/(VLOOKUP($G20,'IPF GL Formula'!$A$4:$F$11,3,FALSE)-VLOOKUP($G20,'IPF GL Formula'!$A$4:$F$11,4,FALSE)*EXP(-VLOOKUP($G20,'IPF GL Formula'!$A$4:$F$11,5,FALSE)*H20)),6))</f>
        <v>0</v>
      </c>
      <c r="AH20" s="9"/>
      <c r="AI20" s="57" t="b">
        <f t="shared" si="5"/>
        <v>0</v>
      </c>
      <c r="AJ20" s="57" t="b">
        <f t="shared" si="6"/>
        <v>0</v>
      </c>
      <c r="AK20" s="57" t="b">
        <f t="shared" si="7"/>
        <v>0</v>
      </c>
      <c r="AL20" s="57" t="b">
        <f t="shared" si="8"/>
        <v>0</v>
      </c>
      <c r="AM20" s="57" t="b">
        <f t="shared" si="9"/>
        <v>0</v>
      </c>
      <c r="AN20" s="57" t="b">
        <f t="shared" si="10"/>
        <v>0</v>
      </c>
      <c r="AO20" s="57" t="b">
        <f t="shared" si="11"/>
        <v>0</v>
      </c>
      <c r="AP20" s="57" t="b">
        <f t="shared" si="12"/>
        <v>0</v>
      </c>
      <c r="AQ20" s="57" t="b">
        <f t="shared" si="13"/>
        <v>0</v>
      </c>
      <c r="AR20" s="53" t="b">
        <f t="shared" si="14"/>
        <v>0</v>
      </c>
      <c r="AS20" s="53" t="b">
        <f t="shared" si="15"/>
        <v>0</v>
      </c>
      <c r="AT20" s="53" t="b">
        <f t="shared" si="16"/>
        <v>0</v>
      </c>
      <c r="AU20" s="53" t="b">
        <f t="shared" si="17"/>
        <v>0</v>
      </c>
      <c r="AV20" s="54"/>
      <c r="AW20" s="9"/>
      <c r="AX20" s="9"/>
      <c r="AY20" s="9"/>
    </row>
    <row r="21" spans="1:51" x14ac:dyDescent="0.25">
      <c r="A21" s="15"/>
      <c r="B21" s="15"/>
      <c r="C21" s="16"/>
      <c r="D21" s="16"/>
      <c r="E21" s="16"/>
      <c r="F21" s="17"/>
      <c r="G21" s="18"/>
      <c r="H21" s="18"/>
      <c r="I21" s="37" t="str">
        <f ca="1">IF(H21="","",VLOOKUP(H21,WeightClasses!$A$2:$E$18,IF(LEFT(G21,1)="F",IF(YEAR(TODAY())-F21&lt;24,4,2),IF(YEAR(TODAY())-F21&lt;24,5,3)),TRUE))</f>
        <v/>
      </c>
      <c r="J21" s="19"/>
      <c r="K21" s="38"/>
      <c r="L21" s="19"/>
      <c r="M21" s="38"/>
      <c r="N21" s="19"/>
      <c r="O21" s="38"/>
      <c r="P21" s="39" t="str">
        <f t="shared" si="18"/>
        <v/>
      </c>
      <c r="Q21" s="19"/>
      <c r="R21" s="38"/>
      <c r="S21" s="19"/>
      <c r="T21" s="38"/>
      <c r="U21" s="19"/>
      <c r="V21" s="38"/>
      <c r="W21" s="39" t="str">
        <f t="shared" si="2"/>
        <v/>
      </c>
      <c r="X21" s="19"/>
      <c r="Y21" s="38"/>
      <c r="Z21" s="19"/>
      <c r="AA21" s="38"/>
      <c r="AB21" s="19"/>
      <c r="AC21" s="38"/>
      <c r="AD21" s="39" t="str">
        <f t="shared" si="3"/>
        <v/>
      </c>
      <c r="AE21" s="40" t="str">
        <f t="shared" si="4"/>
        <v/>
      </c>
      <c r="AF21" s="48" t="str">
        <f t="shared" si="19"/>
        <v/>
      </c>
      <c r="AG21" s="52">
        <f>IF(OR(H21="",H21=0),0, ROUND(100/(VLOOKUP($G21,'IPF GL Formula'!$A$4:$F$11,3,FALSE)-VLOOKUP($G21,'IPF GL Formula'!$A$4:$F$11,4,FALSE)*EXP(-VLOOKUP($G21,'IPF GL Formula'!$A$4:$F$11,5,FALSE)*H21)),6))</f>
        <v>0</v>
      </c>
      <c r="AH21" s="9"/>
      <c r="AI21" s="57" t="b">
        <f t="shared" si="5"/>
        <v>0</v>
      </c>
      <c r="AJ21" s="57" t="b">
        <f t="shared" si="6"/>
        <v>0</v>
      </c>
      <c r="AK21" s="57" t="b">
        <f t="shared" si="7"/>
        <v>0</v>
      </c>
      <c r="AL21" s="57" t="b">
        <f t="shared" si="8"/>
        <v>0</v>
      </c>
      <c r="AM21" s="57" t="b">
        <f t="shared" si="9"/>
        <v>0</v>
      </c>
      <c r="AN21" s="57" t="b">
        <f t="shared" si="10"/>
        <v>0</v>
      </c>
      <c r="AO21" s="57" t="b">
        <f t="shared" si="11"/>
        <v>0</v>
      </c>
      <c r="AP21" s="57" t="b">
        <f t="shared" si="12"/>
        <v>0</v>
      </c>
      <c r="AQ21" s="57" t="b">
        <f t="shared" si="13"/>
        <v>0</v>
      </c>
      <c r="AR21" s="53" t="b">
        <f t="shared" si="14"/>
        <v>0</v>
      </c>
      <c r="AS21" s="53" t="b">
        <f t="shared" si="15"/>
        <v>0</v>
      </c>
      <c r="AT21" s="53" t="b">
        <f t="shared" si="16"/>
        <v>0</v>
      </c>
      <c r="AU21" s="53" t="b">
        <f t="shared" si="17"/>
        <v>0</v>
      </c>
      <c r="AV21" s="54"/>
      <c r="AW21" s="9"/>
      <c r="AX21" s="9"/>
      <c r="AY21" s="9"/>
    </row>
    <row r="22" spans="1:51" x14ac:dyDescent="0.25">
      <c r="A22" s="15"/>
      <c r="B22" s="15"/>
      <c r="C22" s="16"/>
      <c r="D22" s="16"/>
      <c r="E22" s="16"/>
      <c r="F22" s="17"/>
      <c r="G22" s="18"/>
      <c r="H22" s="18"/>
      <c r="I22" s="37" t="str">
        <f ca="1">IF(H22="","",VLOOKUP(H22,WeightClasses!$A$2:$E$18,IF(LEFT(G22,1)="F",IF(YEAR(TODAY())-F22&lt;24,4,2),IF(YEAR(TODAY())-F22&lt;24,5,3)),TRUE))</f>
        <v/>
      </c>
      <c r="J22" s="19"/>
      <c r="K22" s="38"/>
      <c r="L22" s="19"/>
      <c r="M22" s="38"/>
      <c r="N22" s="19"/>
      <c r="O22" s="38"/>
      <c r="P22" s="39" t="str">
        <f t="shared" si="18"/>
        <v/>
      </c>
      <c r="Q22" s="19"/>
      <c r="R22" s="38"/>
      <c r="S22" s="19"/>
      <c r="T22" s="38"/>
      <c r="U22" s="19"/>
      <c r="V22" s="38"/>
      <c r="W22" s="39" t="str">
        <f t="shared" si="2"/>
        <v/>
      </c>
      <c r="X22" s="19"/>
      <c r="Y22" s="38"/>
      <c r="Z22" s="19"/>
      <c r="AA22" s="38"/>
      <c r="AB22" s="19"/>
      <c r="AC22" s="38"/>
      <c r="AD22" s="39" t="str">
        <f t="shared" si="3"/>
        <v/>
      </c>
      <c r="AE22" s="40" t="str">
        <f t="shared" si="4"/>
        <v/>
      </c>
      <c r="AF22" s="48" t="str">
        <f t="shared" si="19"/>
        <v/>
      </c>
      <c r="AG22" s="52">
        <f>IF(OR(H22="",H22=0),0, ROUND(100/(VLOOKUP($G22,'IPF GL Formula'!$A$4:$F$11,3,FALSE)-VLOOKUP($G22,'IPF GL Formula'!$A$4:$F$11,4,FALSE)*EXP(-VLOOKUP($G22,'IPF GL Formula'!$A$4:$F$11,5,FALSE)*H22)),6))</f>
        <v>0</v>
      </c>
      <c r="AH22" s="9"/>
      <c r="AI22" s="57" t="b">
        <f t="shared" si="5"/>
        <v>0</v>
      </c>
      <c r="AJ22" s="57" t="b">
        <f t="shared" si="6"/>
        <v>0</v>
      </c>
      <c r="AK22" s="57" t="b">
        <f t="shared" si="7"/>
        <v>0</v>
      </c>
      <c r="AL22" s="57" t="b">
        <f t="shared" si="8"/>
        <v>0</v>
      </c>
      <c r="AM22" s="57" t="b">
        <f t="shared" si="9"/>
        <v>0</v>
      </c>
      <c r="AN22" s="57" t="b">
        <f t="shared" si="10"/>
        <v>0</v>
      </c>
      <c r="AO22" s="57" t="b">
        <f t="shared" si="11"/>
        <v>0</v>
      </c>
      <c r="AP22" s="57" t="b">
        <f t="shared" si="12"/>
        <v>0</v>
      </c>
      <c r="AQ22" s="57" t="b">
        <f t="shared" si="13"/>
        <v>0</v>
      </c>
      <c r="AR22" s="53" t="b">
        <f t="shared" si="14"/>
        <v>0</v>
      </c>
      <c r="AS22" s="53" t="b">
        <f t="shared" si="15"/>
        <v>0</v>
      </c>
      <c r="AT22" s="53" t="b">
        <f t="shared" si="16"/>
        <v>0</v>
      </c>
      <c r="AU22" s="53" t="b">
        <f t="shared" si="17"/>
        <v>0</v>
      </c>
      <c r="AV22" s="54"/>
      <c r="AW22" s="9"/>
      <c r="AX22" s="9"/>
      <c r="AY22" s="9"/>
    </row>
    <row r="23" spans="1:51" x14ac:dyDescent="0.25">
      <c r="A23" s="15"/>
      <c r="B23" s="15"/>
      <c r="C23" s="16"/>
      <c r="D23" s="16"/>
      <c r="E23" s="16"/>
      <c r="F23" s="17"/>
      <c r="G23" s="18"/>
      <c r="H23" s="18"/>
      <c r="I23" s="37" t="str">
        <f ca="1">IF(H23="","",VLOOKUP(H23,WeightClasses!$A$2:$E$18,IF(LEFT(G23,1)="F",IF(YEAR(TODAY())-F23&lt;24,4,2),IF(YEAR(TODAY())-F23&lt;24,5,3)),TRUE))</f>
        <v/>
      </c>
      <c r="J23" s="19"/>
      <c r="K23" s="38"/>
      <c r="L23" s="19"/>
      <c r="M23" s="38"/>
      <c r="N23" s="19"/>
      <c r="O23" s="38"/>
      <c r="P23" s="39" t="str">
        <f t="shared" si="18"/>
        <v/>
      </c>
      <c r="Q23" s="19"/>
      <c r="R23" s="38"/>
      <c r="S23" s="19"/>
      <c r="T23" s="38"/>
      <c r="U23" s="19"/>
      <c r="V23" s="38"/>
      <c r="W23" s="39" t="str">
        <f t="shared" si="2"/>
        <v/>
      </c>
      <c r="X23" s="19"/>
      <c r="Y23" s="38"/>
      <c r="Z23" s="19"/>
      <c r="AA23" s="38"/>
      <c r="AB23" s="19"/>
      <c r="AC23" s="38"/>
      <c r="AD23" s="39" t="str">
        <f t="shared" si="3"/>
        <v/>
      </c>
      <c r="AE23" s="40" t="str">
        <f t="shared" si="4"/>
        <v/>
      </c>
      <c r="AF23" s="48" t="str">
        <f t="shared" si="19"/>
        <v/>
      </c>
      <c r="AG23" s="52">
        <f>IF(OR(H23="",H23=0),0, ROUND(100/(VLOOKUP($G23,'IPF GL Formula'!$A$4:$F$11,3,FALSE)-VLOOKUP($G23,'IPF GL Formula'!$A$4:$F$11,4,FALSE)*EXP(-VLOOKUP($G23,'IPF GL Formula'!$A$4:$F$11,5,FALSE)*H23)),6))</f>
        <v>0</v>
      </c>
      <c r="AH23" s="9"/>
      <c r="AI23" s="57" t="b">
        <f t="shared" si="5"/>
        <v>0</v>
      </c>
      <c r="AJ23" s="57" t="b">
        <f t="shared" si="6"/>
        <v>0</v>
      </c>
      <c r="AK23" s="57" t="b">
        <f t="shared" si="7"/>
        <v>0</v>
      </c>
      <c r="AL23" s="57" t="b">
        <f t="shared" si="8"/>
        <v>0</v>
      </c>
      <c r="AM23" s="57" t="b">
        <f t="shared" si="9"/>
        <v>0</v>
      </c>
      <c r="AN23" s="57" t="b">
        <f t="shared" si="10"/>
        <v>0</v>
      </c>
      <c r="AO23" s="57" t="b">
        <f t="shared" si="11"/>
        <v>0</v>
      </c>
      <c r="AP23" s="57" t="b">
        <f t="shared" si="12"/>
        <v>0</v>
      </c>
      <c r="AQ23" s="57" t="b">
        <f t="shared" si="13"/>
        <v>0</v>
      </c>
      <c r="AR23" s="53" t="b">
        <f t="shared" si="14"/>
        <v>0</v>
      </c>
      <c r="AS23" s="53" t="b">
        <f t="shared" si="15"/>
        <v>0</v>
      </c>
      <c r="AT23" s="53" t="b">
        <f t="shared" si="16"/>
        <v>0</v>
      </c>
      <c r="AU23" s="53" t="b">
        <f t="shared" si="17"/>
        <v>0</v>
      </c>
      <c r="AV23" s="54"/>
      <c r="AW23" s="9"/>
      <c r="AX23" s="9"/>
      <c r="AY23" s="9"/>
    </row>
    <row r="24" spans="1:51" x14ac:dyDescent="0.25">
      <c r="A24" s="15"/>
      <c r="B24" s="15"/>
      <c r="C24" s="16"/>
      <c r="D24" s="16"/>
      <c r="E24" s="16"/>
      <c r="F24" s="17"/>
      <c r="G24" s="18"/>
      <c r="H24" s="18"/>
      <c r="I24" s="37" t="str">
        <f ca="1">IF(H24="","",VLOOKUP(H24,WeightClasses!$A$2:$E$18,IF(LEFT(G24,1)="F",IF(YEAR(TODAY())-F24&lt;24,4,2),IF(YEAR(TODAY())-F24&lt;24,5,3)),TRUE))</f>
        <v/>
      </c>
      <c r="J24" s="19"/>
      <c r="K24" s="38"/>
      <c r="L24" s="19"/>
      <c r="M24" s="38"/>
      <c r="N24" s="19"/>
      <c r="O24" s="38"/>
      <c r="P24" s="39" t="str">
        <f t="shared" si="18"/>
        <v/>
      </c>
      <c r="Q24" s="19"/>
      <c r="R24" s="47"/>
      <c r="S24" s="19"/>
      <c r="T24" s="38"/>
      <c r="U24" s="19"/>
      <c r="V24" s="38"/>
      <c r="W24" s="39" t="str">
        <f t="shared" si="2"/>
        <v/>
      </c>
      <c r="X24" s="19"/>
      <c r="Y24" s="38"/>
      <c r="Z24" s="19"/>
      <c r="AA24" s="38"/>
      <c r="AB24" s="19"/>
      <c r="AC24" s="38"/>
      <c r="AD24" s="39" t="str">
        <f t="shared" si="3"/>
        <v/>
      </c>
      <c r="AE24" s="40" t="str">
        <f t="shared" si="4"/>
        <v/>
      </c>
      <c r="AF24" s="48" t="str">
        <f t="shared" si="19"/>
        <v/>
      </c>
      <c r="AG24" s="52">
        <f>IF(OR(H24="",H24=0),0, ROUND(100/(VLOOKUP($G24,'IPF GL Formula'!$A$4:$F$11,3,FALSE)-VLOOKUP($G24,'IPF GL Formula'!$A$4:$F$11,4,FALSE)*EXP(-VLOOKUP($G24,'IPF GL Formula'!$A$4:$F$11,5,FALSE)*H24)),6))</f>
        <v>0</v>
      </c>
      <c r="AH24" s="9"/>
      <c r="AI24" s="57" t="b">
        <f t="shared" si="5"/>
        <v>0</v>
      </c>
      <c r="AJ24" s="57" t="b">
        <f t="shared" si="6"/>
        <v>0</v>
      </c>
      <c r="AK24" s="57" t="b">
        <f t="shared" si="7"/>
        <v>0</v>
      </c>
      <c r="AL24" s="57" t="b">
        <f t="shared" si="8"/>
        <v>0</v>
      </c>
      <c r="AM24" s="57" t="b">
        <f t="shared" si="9"/>
        <v>0</v>
      </c>
      <c r="AN24" s="57" t="b">
        <f t="shared" si="10"/>
        <v>0</v>
      </c>
      <c r="AO24" s="57" t="b">
        <f t="shared" si="11"/>
        <v>0</v>
      </c>
      <c r="AP24" s="57" t="b">
        <f t="shared" si="12"/>
        <v>0</v>
      </c>
      <c r="AQ24" s="57" t="b">
        <f t="shared" si="13"/>
        <v>0</v>
      </c>
      <c r="AR24" s="53" t="b">
        <f t="shared" si="14"/>
        <v>0</v>
      </c>
      <c r="AS24" s="53" t="b">
        <f t="shared" si="15"/>
        <v>0</v>
      </c>
      <c r="AT24" s="53" t="b">
        <f t="shared" si="16"/>
        <v>0</v>
      </c>
      <c r="AU24" s="53" t="b">
        <f t="shared" si="17"/>
        <v>0</v>
      </c>
      <c r="AV24" s="54"/>
      <c r="AW24" s="9"/>
      <c r="AX24" s="9"/>
      <c r="AY24" s="9"/>
    </row>
    <row r="25" spans="1:51" x14ac:dyDescent="0.25">
      <c r="A25" s="15"/>
      <c r="B25" s="15"/>
      <c r="C25" s="16"/>
      <c r="D25" s="16"/>
      <c r="E25" s="16"/>
      <c r="F25" s="17"/>
      <c r="G25" s="18"/>
      <c r="H25" s="18"/>
      <c r="I25" s="37" t="str">
        <f ca="1">IF(H25="","",VLOOKUP(H25,WeightClasses!$A$2:$E$18,IF(LEFT(G25,1)="F",IF(YEAR(TODAY())-F25&lt;24,4,2),IF(YEAR(TODAY())-F25&lt;24,5,3)),TRUE))</f>
        <v/>
      </c>
      <c r="J25" s="19"/>
      <c r="K25" s="38"/>
      <c r="L25" s="19"/>
      <c r="M25" s="38"/>
      <c r="N25" s="19"/>
      <c r="O25" s="38"/>
      <c r="P25" s="39" t="str">
        <f t="shared" si="18"/>
        <v/>
      </c>
      <c r="Q25" s="19"/>
      <c r="R25" s="38"/>
      <c r="S25" s="19"/>
      <c r="T25" s="38"/>
      <c r="U25" s="19"/>
      <c r="V25" s="38"/>
      <c r="W25" s="39" t="str">
        <f t="shared" si="2"/>
        <v/>
      </c>
      <c r="X25" s="19"/>
      <c r="Y25" s="38"/>
      <c r="Z25" s="19"/>
      <c r="AA25" s="38"/>
      <c r="AB25" s="19"/>
      <c r="AC25" s="38"/>
      <c r="AD25" s="39" t="str">
        <f t="shared" si="3"/>
        <v/>
      </c>
      <c r="AE25" s="40" t="str">
        <f t="shared" si="4"/>
        <v/>
      </c>
      <c r="AF25" s="48" t="str">
        <f t="shared" si="19"/>
        <v/>
      </c>
      <c r="AG25" s="52">
        <f>IF(OR(H25="",H25=0),0, ROUND(100/(VLOOKUP($G25,'IPF GL Formula'!$A$4:$F$11,3,FALSE)-VLOOKUP($G25,'IPF GL Formula'!$A$4:$F$11,4,FALSE)*EXP(-VLOOKUP($G25,'IPF GL Formula'!$A$4:$F$11,5,FALSE)*H25)),6))</f>
        <v>0</v>
      </c>
      <c r="AH25" s="9"/>
      <c r="AI25" s="57" t="b">
        <f t="shared" si="5"/>
        <v>0</v>
      </c>
      <c r="AJ25" s="57" t="b">
        <f t="shared" si="6"/>
        <v>0</v>
      </c>
      <c r="AK25" s="57" t="b">
        <f t="shared" si="7"/>
        <v>0</v>
      </c>
      <c r="AL25" s="57" t="b">
        <f t="shared" si="8"/>
        <v>0</v>
      </c>
      <c r="AM25" s="57" t="b">
        <f t="shared" si="9"/>
        <v>0</v>
      </c>
      <c r="AN25" s="57" t="b">
        <f t="shared" si="10"/>
        <v>0</v>
      </c>
      <c r="AO25" s="57" t="b">
        <f t="shared" si="11"/>
        <v>0</v>
      </c>
      <c r="AP25" s="57" t="b">
        <f t="shared" si="12"/>
        <v>0</v>
      </c>
      <c r="AQ25" s="57" t="b">
        <f t="shared" si="13"/>
        <v>0</v>
      </c>
      <c r="AR25" s="53" t="b">
        <f t="shared" si="14"/>
        <v>0</v>
      </c>
      <c r="AS25" s="53" t="b">
        <f t="shared" si="15"/>
        <v>0</v>
      </c>
      <c r="AT25" s="53" t="b">
        <f t="shared" si="16"/>
        <v>0</v>
      </c>
      <c r="AU25" s="53" t="b">
        <f t="shared" si="17"/>
        <v>0</v>
      </c>
      <c r="AV25" s="54"/>
      <c r="AW25" s="9"/>
      <c r="AX25" s="9"/>
      <c r="AY25" s="9"/>
    </row>
    <row r="26" spans="1:51" x14ac:dyDescent="0.25">
      <c r="A26" s="15"/>
      <c r="B26" s="15"/>
      <c r="C26" s="16"/>
      <c r="D26" s="16"/>
      <c r="E26" s="16"/>
      <c r="F26" s="17"/>
      <c r="G26" s="18"/>
      <c r="H26" s="18"/>
      <c r="I26" s="37" t="str">
        <f ca="1">IF(H26="","",VLOOKUP(H26,WeightClasses!$A$2:$E$18,IF(LEFT(G26,1)="F",IF(YEAR(TODAY())-F26&lt;24,4,2),IF(YEAR(TODAY())-F26&lt;24,5,3)),TRUE))</f>
        <v/>
      </c>
      <c r="J26" s="19"/>
      <c r="K26" s="38"/>
      <c r="L26" s="19"/>
      <c r="M26" s="38"/>
      <c r="N26" s="19"/>
      <c r="O26" s="38"/>
      <c r="P26" s="39" t="str">
        <f t="shared" si="18"/>
        <v/>
      </c>
      <c r="Q26" s="19"/>
      <c r="R26" s="38"/>
      <c r="S26" s="19"/>
      <c r="T26" s="38"/>
      <c r="U26" s="19"/>
      <c r="V26" s="38"/>
      <c r="W26" s="39" t="str">
        <f t="shared" si="2"/>
        <v/>
      </c>
      <c r="X26" s="19"/>
      <c r="Y26" s="38"/>
      <c r="Z26" s="19"/>
      <c r="AA26" s="38"/>
      <c r="AB26" s="19"/>
      <c r="AC26" s="38"/>
      <c r="AD26" s="39" t="str">
        <f t="shared" si="3"/>
        <v/>
      </c>
      <c r="AE26" s="40" t="str">
        <f t="shared" si="4"/>
        <v/>
      </c>
      <c r="AF26" s="48" t="str">
        <f t="shared" si="19"/>
        <v/>
      </c>
      <c r="AG26" s="52">
        <f>IF(OR(H26="",H26=0),0, ROUND(100/(VLOOKUP($G26,'IPF GL Formula'!$A$4:$F$11,3,FALSE)-VLOOKUP($G26,'IPF GL Formula'!$A$4:$F$11,4,FALSE)*EXP(-VLOOKUP($G26,'IPF GL Formula'!$A$4:$F$11,5,FALSE)*H26)),6))</f>
        <v>0</v>
      </c>
      <c r="AH26" s="9"/>
      <c r="AI26" s="57" t="b">
        <f t="shared" si="5"/>
        <v>0</v>
      </c>
      <c r="AJ26" s="57" t="b">
        <f t="shared" si="6"/>
        <v>0</v>
      </c>
      <c r="AK26" s="57" t="b">
        <f t="shared" si="7"/>
        <v>0</v>
      </c>
      <c r="AL26" s="57" t="b">
        <f t="shared" si="8"/>
        <v>0</v>
      </c>
      <c r="AM26" s="57" t="b">
        <f t="shared" si="9"/>
        <v>0</v>
      </c>
      <c r="AN26" s="57" t="b">
        <f t="shared" si="10"/>
        <v>0</v>
      </c>
      <c r="AO26" s="57" t="b">
        <f t="shared" si="11"/>
        <v>0</v>
      </c>
      <c r="AP26" s="57" t="b">
        <f t="shared" si="12"/>
        <v>0</v>
      </c>
      <c r="AQ26" s="57" t="b">
        <f t="shared" si="13"/>
        <v>0</v>
      </c>
      <c r="AR26" s="53" t="b">
        <f t="shared" si="14"/>
        <v>0</v>
      </c>
      <c r="AS26" s="53" t="b">
        <f t="shared" si="15"/>
        <v>0</v>
      </c>
      <c r="AT26" s="53" t="b">
        <f t="shared" si="16"/>
        <v>0</v>
      </c>
      <c r="AU26" s="53" t="b">
        <f t="shared" si="17"/>
        <v>0</v>
      </c>
      <c r="AV26" s="54"/>
      <c r="AW26" s="9"/>
      <c r="AX26" s="9"/>
      <c r="AY26" s="9"/>
    </row>
    <row r="27" spans="1:51" x14ac:dyDescent="0.25">
      <c r="A27" s="15"/>
      <c r="B27" s="15"/>
      <c r="C27" s="16"/>
      <c r="D27" s="16"/>
      <c r="E27" s="16"/>
      <c r="F27" s="17"/>
      <c r="G27" s="18"/>
      <c r="H27" s="18"/>
      <c r="I27" s="37" t="str">
        <f ca="1">IF(H27="","",VLOOKUP(H27,WeightClasses!$A$2:$E$18,IF(LEFT(G27,1)="F",IF(YEAR(TODAY())-F27&lt;24,4,2),IF(YEAR(TODAY())-F27&lt;24,5,3)),TRUE))</f>
        <v/>
      </c>
      <c r="J27" s="19"/>
      <c r="K27" s="38"/>
      <c r="L27" s="19"/>
      <c r="M27" s="38"/>
      <c r="N27" s="19"/>
      <c r="O27" s="38"/>
      <c r="P27" s="39" t="str">
        <f t="shared" si="18"/>
        <v/>
      </c>
      <c r="Q27" s="19"/>
      <c r="R27" s="38"/>
      <c r="S27" s="19"/>
      <c r="T27" s="38"/>
      <c r="U27" s="19"/>
      <c r="V27" s="38"/>
      <c r="W27" s="39" t="str">
        <f t="shared" si="2"/>
        <v/>
      </c>
      <c r="X27" s="19"/>
      <c r="Y27" s="38"/>
      <c r="Z27" s="19"/>
      <c r="AA27" s="38"/>
      <c r="AB27" s="19"/>
      <c r="AC27" s="38"/>
      <c r="AD27" s="39" t="str">
        <f t="shared" si="3"/>
        <v/>
      </c>
      <c r="AE27" s="40" t="str">
        <f t="shared" si="4"/>
        <v/>
      </c>
      <c r="AF27" s="48" t="str">
        <f t="shared" si="19"/>
        <v/>
      </c>
      <c r="AG27" s="52">
        <f>IF(OR(H27="",H27=0),0, ROUND(100/(VLOOKUP($G27,'IPF GL Formula'!$A$4:$F$11,3,FALSE)-VLOOKUP($G27,'IPF GL Formula'!$A$4:$F$11,4,FALSE)*EXP(-VLOOKUP($G27,'IPF GL Formula'!$A$4:$F$11,5,FALSE)*H27)),6))</f>
        <v>0</v>
      </c>
      <c r="AH27" s="9"/>
      <c r="AI27" s="57" t="b">
        <f t="shared" si="5"/>
        <v>0</v>
      </c>
      <c r="AJ27" s="57" t="b">
        <f t="shared" si="6"/>
        <v>0</v>
      </c>
      <c r="AK27" s="57" t="b">
        <f t="shared" si="7"/>
        <v>0</v>
      </c>
      <c r="AL27" s="57" t="b">
        <f t="shared" si="8"/>
        <v>0</v>
      </c>
      <c r="AM27" s="57" t="b">
        <f t="shared" si="9"/>
        <v>0</v>
      </c>
      <c r="AN27" s="57" t="b">
        <f t="shared" si="10"/>
        <v>0</v>
      </c>
      <c r="AO27" s="57" t="b">
        <f t="shared" si="11"/>
        <v>0</v>
      </c>
      <c r="AP27" s="57" t="b">
        <f t="shared" si="12"/>
        <v>0</v>
      </c>
      <c r="AQ27" s="57" t="b">
        <f t="shared" si="13"/>
        <v>0</v>
      </c>
      <c r="AR27" s="53" t="b">
        <f t="shared" si="14"/>
        <v>0</v>
      </c>
      <c r="AS27" s="53" t="b">
        <f t="shared" si="15"/>
        <v>0</v>
      </c>
      <c r="AT27" s="53" t="b">
        <f t="shared" si="16"/>
        <v>0</v>
      </c>
      <c r="AU27" s="53" t="b">
        <f t="shared" si="17"/>
        <v>0</v>
      </c>
      <c r="AV27" s="54"/>
      <c r="AW27" s="9"/>
      <c r="AX27" s="9"/>
      <c r="AY27" s="9"/>
    </row>
    <row r="28" spans="1:51" x14ac:dyDescent="0.25">
      <c r="A28" s="15"/>
      <c r="B28" s="15"/>
      <c r="C28" s="16"/>
      <c r="D28" s="16"/>
      <c r="E28" s="16"/>
      <c r="F28" s="17"/>
      <c r="G28" s="18"/>
      <c r="H28" s="18"/>
      <c r="I28" s="37" t="str">
        <f ca="1">IF(H28="","",VLOOKUP(H28,WeightClasses!$A$2:$E$18,IF(LEFT(G28,1)="F",IF(YEAR(TODAY())-F28&lt;24,4,2),IF(YEAR(TODAY())-F28&lt;24,5,3)),TRUE))</f>
        <v/>
      </c>
      <c r="J28" s="19"/>
      <c r="K28" s="38"/>
      <c r="L28" s="19"/>
      <c r="M28" s="38"/>
      <c r="N28" s="19"/>
      <c r="O28" s="38"/>
      <c r="P28" s="39" t="str">
        <f t="shared" si="18"/>
        <v/>
      </c>
      <c r="Q28" s="19"/>
      <c r="R28" s="38"/>
      <c r="S28" s="19"/>
      <c r="T28" s="38"/>
      <c r="U28" s="19"/>
      <c r="V28" s="38"/>
      <c r="W28" s="39" t="str">
        <f t="shared" si="2"/>
        <v/>
      </c>
      <c r="X28" s="19"/>
      <c r="Y28" s="38"/>
      <c r="Z28" s="19"/>
      <c r="AA28" s="38"/>
      <c r="AB28" s="19"/>
      <c r="AC28" s="38"/>
      <c r="AD28" s="39" t="str">
        <f t="shared" si="3"/>
        <v/>
      </c>
      <c r="AE28" s="40" t="str">
        <f t="shared" si="4"/>
        <v/>
      </c>
      <c r="AF28" s="48" t="str">
        <f t="shared" si="19"/>
        <v/>
      </c>
      <c r="AG28" s="52">
        <f>IF(OR(H28="",H28=0),0, ROUND(100/(VLOOKUP($G28,'IPF GL Formula'!$A$4:$F$11,3,FALSE)-VLOOKUP($G28,'IPF GL Formula'!$A$4:$F$11,4,FALSE)*EXP(-VLOOKUP($G28,'IPF GL Formula'!$A$4:$F$11,5,FALSE)*H28)),6))</f>
        <v>0</v>
      </c>
      <c r="AH28" s="9"/>
      <c r="AI28" s="57" t="b">
        <f t="shared" si="5"/>
        <v>0</v>
      </c>
      <c r="AJ28" s="57" t="b">
        <f t="shared" si="6"/>
        <v>0</v>
      </c>
      <c r="AK28" s="57" t="b">
        <f t="shared" si="7"/>
        <v>0</v>
      </c>
      <c r="AL28" s="57" t="b">
        <f t="shared" si="8"/>
        <v>0</v>
      </c>
      <c r="AM28" s="57" t="b">
        <f t="shared" si="9"/>
        <v>0</v>
      </c>
      <c r="AN28" s="57" t="b">
        <f t="shared" si="10"/>
        <v>0</v>
      </c>
      <c r="AO28" s="57" t="b">
        <f t="shared" si="11"/>
        <v>0</v>
      </c>
      <c r="AP28" s="57" t="b">
        <f t="shared" si="12"/>
        <v>0</v>
      </c>
      <c r="AQ28" s="57" t="b">
        <f t="shared" si="13"/>
        <v>0</v>
      </c>
      <c r="AR28" s="53" t="b">
        <f t="shared" si="14"/>
        <v>0</v>
      </c>
      <c r="AS28" s="53" t="b">
        <f t="shared" si="15"/>
        <v>0</v>
      </c>
      <c r="AT28" s="53" t="b">
        <f t="shared" si="16"/>
        <v>0</v>
      </c>
      <c r="AU28" s="53" t="b">
        <f t="shared" si="17"/>
        <v>0</v>
      </c>
      <c r="AV28" s="54"/>
      <c r="AW28" s="9"/>
      <c r="AX28" s="9"/>
      <c r="AY28" s="9"/>
    </row>
    <row r="29" spans="1:51" x14ac:dyDescent="0.25">
      <c r="A29" s="15"/>
      <c r="B29" s="15"/>
      <c r="C29" s="16"/>
      <c r="D29" s="16"/>
      <c r="E29" s="16"/>
      <c r="F29" s="17"/>
      <c r="G29" s="18"/>
      <c r="H29" s="18"/>
      <c r="I29" s="37" t="str">
        <f ca="1">IF(H29="","",VLOOKUP(H29,WeightClasses!$A$2:$E$18,IF(LEFT(G29,1)="F",IF(YEAR(TODAY())-F29&lt;24,4,2),IF(YEAR(TODAY())-F29&lt;24,5,3)),TRUE))</f>
        <v/>
      </c>
      <c r="J29" s="19"/>
      <c r="K29" s="38"/>
      <c r="L29" s="19"/>
      <c r="M29" s="38"/>
      <c r="N29" s="19"/>
      <c r="O29" s="38"/>
      <c r="P29" s="39" t="str">
        <f t="shared" si="18"/>
        <v/>
      </c>
      <c r="Q29" s="19"/>
      <c r="R29" s="38"/>
      <c r="S29" s="19"/>
      <c r="T29" s="38"/>
      <c r="U29" s="19"/>
      <c r="V29" s="38"/>
      <c r="W29" s="39" t="str">
        <f t="shared" si="2"/>
        <v/>
      </c>
      <c r="X29" s="19"/>
      <c r="Y29" s="38"/>
      <c r="Z29" s="19"/>
      <c r="AA29" s="38"/>
      <c r="AB29" s="19"/>
      <c r="AC29" s="38"/>
      <c r="AD29" s="39" t="str">
        <f t="shared" si="3"/>
        <v/>
      </c>
      <c r="AE29" s="40" t="str">
        <f t="shared" si="4"/>
        <v/>
      </c>
      <c r="AF29" s="48" t="str">
        <f t="shared" si="19"/>
        <v/>
      </c>
      <c r="AG29" s="52">
        <f>IF(OR(H29="",H29=0),0, ROUND(100/(VLOOKUP($G29,'IPF GL Formula'!$A$4:$F$11,3,FALSE)-VLOOKUP($G29,'IPF GL Formula'!$A$4:$F$11,4,FALSE)*EXP(-VLOOKUP($G29,'IPF GL Formula'!$A$4:$F$11,5,FALSE)*H29)),6))</f>
        <v>0</v>
      </c>
      <c r="AH29" s="9"/>
      <c r="AI29" s="57" t="b">
        <f t="shared" si="5"/>
        <v>0</v>
      </c>
      <c r="AJ29" s="57" t="b">
        <f t="shared" si="6"/>
        <v>0</v>
      </c>
      <c r="AK29" s="57" t="b">
        <f t="shared" si="7"/>
        <v>0</v>
      </c>
      <c r="AL29" s="57" t="b">
        <f t="shared" si="8"/>
        <v>0</v>
      </c>
      <c r="AM29" s="57" t="b">
        <f t="shared" si="9"/>
        <v>0</v>
      </c>
      <c r="AN29" s="57" t="b">
        <f t="shared" si="10"/>
        <v>0</v>
      </c>
      <c r="AO29" s="57" t="b">
        <f t="shared" si="11"/>
        <v>0</v>
      </c>
      <c r="AP29" s="57" t="b">
        <f t="shared" si="12"/>
        <v>0</v>
      </c>
      <c r="AQ29" s="57" t="b">
        <f t="shared" si="13"/>
        <v>0</v>
      </c>
      <c r="AR29" s="53" t="b">
        <f t="shared" si="14"/>
        <v>0</v>
      </c>
      <c r="AS29" s="53" t="b">
        <f t="shared" si="15"/>
        <v>0</v>
      </c>
      <c r="AT29" s="53" t="b">
        <f t="shared" si="16"/>
        <v>0</v>
      </c>
      <c r="AU29" s="53" t="b">
        <f t="shared" si="17"/>
        <v>0</v>
      </c>
      <c r="AV29" s="54"/>
      <c r="AW29" s="9"/>
      <c r="AX29" s="9"/>
      <c r="AY29" s="9"/>
    </row>
    <row r="30" spans="1:51" x14ac:dyDescent="0.25">
      <c r="A30" s="15"/>
      <c r="B30" s="15"/>
      <c r="C30" s="16"/>
      <c r="D30" s="16"/>
      <c r="E30" s="16"/>
      <c r="F30" s="17"/>
      <c r="G30" s="18"/>
      <c r="H30" s="18"/>
      <c r="I30" s="37" t="str">
        <f ca="1">IF(H30="","",VLOOKUP(H30,WeightClasses!$A$2:$E$18,IF(LEFT(G30,1)="F",IF(YEAR(TODAY())-F30&lt;24,4,2),IF(YEAR(TODAY())-F30&lt;24,5,3)),TRUE))</f>
        <v/>
      </c>
      <c r="J30" s="19"/>
      <c r="K30" s="38"/>
      <c r="L30" s="19"/>
      <c r="M30" s="38"/>
      <c r="N30" s="19"/>
      <c r="O30" s="38"/>
      <c r="P30" s="39" t="str">
        <f t="shared" si="18"/>
        <v/>
      </c>
      <c r="Q30" s="19"/>
      <c r="R30" s="38"/>
      <c r="S30" s="19"/>
      <c r="T30" s="38"/>
      <c r="U30" s="19"/>
      <c r="V30" s="38"/>
      <c r="W30" s="39" t="str">
        <f t="shared" si="2"/>
        <v/>
      </c>
      <c r="X30" s="19"/>
      <c r="Y30" s="38"/>
      <c r="Z30" s="19"/>
      <c r="AA30" s="38"/>
      <c r="AB30" s="19"/>
      <c r="AC30" s="38"/>
      <c r="AD30" s="39" t="str">
        <f t="shared" si="3"/>
        <v/>
      </c>
      <c r="AE30" s="40" t="str">
        <f t="shared" si="4"/>
        <v/>
      </c>
      <c r="AF30" s="48" t="str">
        <f t="shared" si="19"/>
        <v/>
      </c>
      <c r="AG30" s="52">
        <f>IF(OR(H30="",H30=0),0, ROUND(100/(VLOOKUP($G30,'IPF GL Formula'!$A$4:$F$11,3,FALSE)-VLOOKUP($G30,'IPF GL Formula'!$A$4:$F$11,4,FALSE)*EXP(-VLOOKUP($G30,'IPF GL Formula'!$A$4:$F$11,5,FALSE)*H30)),6))</f>
        <v>0</v>
      </c>
      <c r="AH30" s="9"/>
      <c r="AI30" s="57" t="b">
        <f t="shared" si="5"/>
        <v>0</v>
      </c>
      <c r="AJ30" s="57" t="b">
        <f t="shared" si="6"/>
        <v>0</v>
      </c>
      <c r="AK30" s="57" t="b">
        <f t="shared" si="7"/>
        <v>0</v>
      </c>
      <c r="AL30" s="57" t="b">
        <f t="shared" si="8"/>
        <v>0</v>
      </c>
      <c r="AM30" s="57" t="b">
        <f t="shared" si="9"/>
        <v>0</v>
      </c>
      <c r="AN30" s="57" t="b">
        <f t="shared" si="10"/>
        <v>0</v>
      </c>
      <c r="AO30" s="57" t="b">
        <f t="shared" si="11"/>
        <v>0</v>
      </c>
      <c r="AP30" s="57" t="b">
        <f t="shared" si="12"/>
        <v>0</v>
      </c>
      <c r="AQ30" s="57" t="b">
        <f t="shared" si="13"/>
        <v>0</v>
      </c>
      <c r="AR30" s="53" t="b">
        <f t="shared" si="14"/>
        <v>0</v>
      </c>
      <c r="AS30" s="53" t="b">
        <f t="shared" si="15"/>
        <v>0</v>
      </c>
      <c r="AT30" s="53" t="b">
        <f t="shared" si="16"/>
        <v>0</v>
      </c>
      <c r="AU30" s="53" t="b">
        <f t="shared" si="17"/>
        <v>0</v>
      </c>
      <c r="AV30" s="54"/>
      <c r="AW30" s="9"/>
      <c r="AX30" s="9"/>
      <c r="AY30" s="9"/>
    </row>
    <row r="31" spans="1:51" x14ac:dyDescent="0.25">
      <c r="A31" s="15"/>
      <c r="B31" s="15"/>
      <c r="C31" s="16"/>
      <c r="D31" s="16"/>
      <c r="E31" s="16"/>
      <c r="F31" s="17"/>
      <c r="G31" s="18"/>
      <c r="H31" s="18"/>
      <c r="I31" s="37" t="str">
        <f ca="1">IF(H31="","",VLOOKUP(H31,WeightClasses!$A$2:$E$18,IF(LEFT(G31,1)="F",IF(YEAR(TODAY())-F31&lt;24,4,2),IF(YEAR(TODAY())-F31&lt;24,5,3)),TRUE))</f>
        <v/>
      </c>
      <c r="J31" s="19"/>
      <c r="K31" s="38"/>
      <c r="L31" s="19"/>
      <c r="M31" s="38"/>
      <c r="N31" s="19"/>
      <c r="O31" s="38"/>
      <c r="P31" s="39" t="str">
        <f t="shared" si="18"/>
        <v/>
      </c>
      <c r="Q31" s="19"/>
      <c r="R31" s="38"/>
      <c r="S31" s="19"/>
      <c r="T31" s="38"/>
      <c r="U31" s="19"/>
      <c r="V31" s="38"/>
      <c r="W31" s="39" t="str">
        <f t="shared" si="2"/>
        <v/>
      </c>
      <c r="X31" s="19"/>
      <c r="Y31" s="38"/>
      <c r="Z31" s="19"/>
      <c r="AA31" s="38"/>
      <c r="AB31" s="19"/>
      <c r="AC31" s="38"/>
      <c r="AD31" s="39" t="str">
        <f t="shared" si="3"/>
        <v/>
      </c>
      <c r="AE31" s="40" t="str">
        <f t="shared" si="4"/>
        <v/>
      </c>
      <c r="AF31" s="48" t="str">
        <f t="shared" si="19"/>
        <v/>
      </c>
      <c r="AG31" s="52">
        <f>IF(OR(H31="",H31=0),0, ROUND(100/(VLOOKUP($G31,'IPF GL Formula'!$A$4:$F$11,3,FALSE)-VLOOKUP($G31,'IPF GL Formula'!$A$4:$F$11,4,FALSE)*EXP(-VLOOKUP($G31,'IPF GL Formula'!$A$4:$F$11,5,FALSE)*H31)),6))</f>
        <v>0</v>
      </c>
      <c r="AH31" s="9"/>
      <c r="AI31" s="57" t="b">
        <f t="shared" si="5"/>
        <v>0</v>
      </c>
      <c r="AJ31" s="57" t="b">
        <f t="shared" si="6"/>
        <v>0</v>
      </c>
      <c r="AK31" s="57" t="b">
        <f t="shared" si="7"/>
        <v>0</v>
      </c>
      <c r="AL31" s="57" t="b">
        <f t="shared" si="8"/>
        <v>0</v>
      </c>
      <c r="AM31" s="57" t="b">
        <f t="shared" si="9"/>
        <v>0</v>
      </c>
      <c r="AN31" s="57" t="b">
        <f t="shared" si="10"/>
        <v>0</v>
      </c>
      <c r="AO31" s="57" t="b">
        <f t="shared" si="11"/>
        <v>0</v>
      </c>
      <c r="AP31" s="57" t="b">
        <f t="shared" si="12"/>
        <v>0</v>
      </c>
      <c r="AQ31" s="57" t="b">
        <f t="shared" si="13"/>
        <v>0</v>
      </c>
      <c r="AR31" s="53" t="b">
        <f t="shared" si="14"/>
        <v>0</v>
      </c>
      <c r="AS31" s="53" t="b">
        <f t="shared" si="15"/>
        <v>0</v>
      </c>
      <c r="AT31" s="53" t="b">
        <f t="shared" si="16"/>
        <v>0</v>
      </c>
      <c r="AU31" s="53" t="b">
        <f t="shared" si="17"/>
        <v>0</v>
      </c>
      <c r="AV31" s="54"/>
      <c r="AW31" s="9"/>
      <c r="AX31" s="9"/>
      <c r="AY31" s="9"/>
    </row>
    <row r="32" spans="1:51" x14ac:dyDescent="0.25">
      <c r="A32" s="15"/>
      <c r="B32" s="15"/>
      <c r="C32" s="16"/>
      <c r="D32" s="16"/>
      <c r="E32" s="16"/>
      <c r="F32" s="17"/>
      <c r="G32" s="18"/>
      <c r="H32" s="18"/>
      <c r="I32" s="37" t="str">
        <f ca="1">IF(H32="","",VLOOKUP(H32,WeightClasses!$A$2:$E$18,IF(LEFT(G32,1)="F",IF(YEAR(TODAY())-F32&lt;24,4,2),IF(YEAR(TODAY())-F32&lt;24,5,3)),TRUE))</f>
        <v/>
      </c>
      <c r="J32" s="19"/>
      <c r="K32" s="38"/>
      <c r="L32" s="19"/>
      <c r="M32" s="38"/>
      <c r="N32" s="19"/>
      <c r="O32" s="38"/>
      <c r="P32" s="39" t="str">
        <f t="shared" si="18"/>
        <v/>
      </c>
      <c r="Q32" s="19"/>
      <c r="R32" s="38"/>
      <c r="S32" s="19"/>
      <c r="T32" s="38"/>
      <c r="U32" s="19"/>
      <c r="V32" s="38"/>
      <c r="W32" s="39" t="str">
        <f t="shared" si="2"/>
        <v/>
      </c>
      <c r="X32" s="19"/>
      <c r="Y32" s="38"/>
      <c r="Z32" s="19"/>
      <c r="AA32" s="38"/>
      <c r="AB32" s="19"/>
      <c r="AC32" s="38"/>
      <c r="AD32" s="39" t="str">
        <f t="shared" si="3"/>
        <v/>
      </c>
      <c r="AE32" s="40" t="str">
        <f t="shared" si="4"/>
        <v/>
      </c>
      <c r="AF32" s="48" t="str">
        <f t="shared" si="19"/>
        <v/>
      </c>
      <c r="AG32" s="52">
        <f>IF(OR(H32="",H32=0),0, ROUND(100/(VLOOKUP($G32,'IPF GL Formula'!$A$4:$F$11,3,FALSE)-VLOOKUP($G32,'IPF GL Formula'!$A$4:$F$11,4,FALSE)*EXP(-VLOOKUP($G32,'IPF GL Formula'!$A$4:$F$11,5,FALSE)*H32)),6))</f>
        <v>0</v>
      </c>
      <c r="AH32" s="9"/>
      <c r="AI32" s="57" t="b">
        <f t="shared" si="5"/>
        <v>0</v>
      </c>
      <c r="AJ32" s="57" t="b">
        <f t="shared" si="6"/>
        <v>0</v>
      </c>
      <c r="AK32" s="57" t="b">
        <f t="shared" si="7"/>
        <v>0</v>
      </c>
      <c r="AL32" s="57" t="b">
        <f t="shared" si="8"/>
        <v>0</v>
      </c>
      <c r="AM32" s="57" t="b">
        <f t="shared" si="9"/>
        <v>0</v>
      </c>
      <c r="AN32" s="57" t="b">
        <f t="shared" si="10"/>
        <v>0</v>
      </c>
      <c r="AO32" s="57" t="b">
        <f t="shared" si="11"/>
        <v>0</v>
      </c>
      <c r="AP32" s="57" t="b">
        <f t="shared" si="12"/>
        <v>0</v>
      </c>
      <c r="AQ32" s="57" t="b">
        <f t="shared" si="13"/>
        <v>0</v>
      </c>
      <c r="AR32" s="53" t="b">
        <f t="shared" si="14"/>
        <v>0</v>
      </c>
      <c r="AS32" s="53" t="b">
        <f t="shared" si="15"/>
        <v>0</v>
      </c>
      <c r="AT32" s="53" t="b">
        <f t="shared" si="16"/>
        <v>0</v>
      </c>
      <c r="AU32" s="53" t="b">
        <f t="shared" si="17"/>
        <v>0</v>
      </c>
      <c r="AV32" s="54"/>
      <c r="AW32" s="9"/>
      <c r="AX32" s="9"/>
      <c r="AY32" s="9"/>
    </row>
    <row r="33" spans="1:51" x14ac:dyDescent="0.25">
      <c r="A33" s="15"/>
      <c r="B33" s="15"/>
      <c r="C33" s="16"/>
      <c r="D33" s="16"/>
      <c r="E33" s="16"/>
      <c r="F33" s="17"/>
      <c r="G33" s="18"/>
      <c r="H33" s="18"/>
      <c r="I33" s="37" t="str">
        <f ca="1">IF(H33="","",VLOOKUP(H33,WeightClasses!$A$2:$E$18,IF(LEFT(G33,1)="F",IF(YEAR(TODAY())-F33&lt;24,4,2),IF(YEAR(TODAY())-F33&lt;24,5,3)),TRUE))</f>
        <v/>
      </c>
      <c r="J33" s="19"/>
      <c r="K33" s="38"/>
      <c r="L33" s="19"/>
      <c r="M33" s="38"/>
      <c r="N33" s="19"/>
      <c r="O33" s="38"/>
      <c r="P33" s="39" t="str">
        <f t="shared" si="18"/>
        <v/>
      </c>
      <c r="Q33" s="19"/>
      <c r="R33" s="38"/>
      <c r="S33" s="19"/>
      <c r="T33" s="38"/>
      <c r="U33" s="19"/>
      <c r="V33" s="38"/>
      <c r="W33" s="39" t="str">
        <f t="shared" si="2"/>
        <v/>
      </c>
      <c r="X33" s="19"/>
      <c r="Y33" s="38"/>
      <c r="Z33" s="19"/>
      <c r="AA33" s="38"/>
      <c r="AB33" s="19"/>
      <c r="AC33" s="38"/>
      <c r="AD33" s="39" t="str">
        <f t="shared" si="3"/>
        <v/>
      </c>
      <c r="AE33" s="40" t="str">
        <f t="shared" si="4"/>
        <v/>
      </c>
      <c r="AF33" s="48" t="str">
        <f t="shared" si="19"/>
        <v/>
      </c>
      <c r="AG33" s="52">
        <f>IF(OR(H33="",H33=0),0, ROUND(100/(VLOOKUP($G33,'IPF GL Formula'!$A$4:$F$11,3,FALSE)-VLOOKUP($G33,'IPF GL Formula'!$A$4:$F$11,4,FALSE)*EXP(-VLOOKUP($G33,'IPF GL Formula'!$A$4:$F$11,5,FALSE)*H33)),6))</f>
        <v>0</v>
      </c>
      <c r="AH33" s="9"/>
      <c r="AI33" s="57" t="b">
        <f t="shared" si="5"/>
        <v>0</v>
      </c>
      <c r="AJ33" s="57" t="b">
        <f t="shared" si="6"/>
        <v>0</v>
      </c>
      <c r="AK33" s="57" t="b">
        <f t="shared" si="7"/>
        <v>0</v>
      </c>
      <c r="AL33" s="57" t="b">
        <f t="shared" si="8"/>
        <v>0</v>
      </c>
      <c r="AM33" s="57" t="b">
        <f t="shared" si="9"/>
        <v>0</v>
      </c>
      <c r="AN33" s="57" t="b">
        <f t="shared" si="10"/>
        <v>0</v>
      </c>
      <c r="AO33" s="57" t="b">
        <f t="shared" si="11"/>
        <v>0</v>
      </c>
      <c r="AP33" s="57" t="b">
        <f t="shared" si="12"/>
        <v>0</v>
      </c>
      <c r="AQ33" s="57" t="b">
        <f t="shared" si="13"/>
        <v>0</v>
      </c>
      <c r="AR33" s="53" t="b">
        <f t="shared" si="14"/>
        <v>0</v>
      </c>
      <c r="AS33" s="53" t="b">
        <f t="shared" si="15"/>
        <v>0</v>
      </c>
      <c r="AT33" s="53" t="b">
        <f t="shared" si="16"/>
        <v>0</v>
      </c>
      <c r="AU33" s="53" t="b">
        <f t="shared" si="17"/>
        <v>0</v>
      </c>
      <c r="AV33" s="54"/>
      <c r="AW33" s="9"/>
      <c r="AX33" s="9"/>
      <c r="AY33" s="9"/>
    </row>
    <row r="34" spans="1:51" x14ac:dyDescent="0.25">
      <c r="A34" s="15"/>
      <c r="B34" s="15"/>
      <c r="C34" s="16"/>
      <c r="D34" s="16"/>
      <c r="E34" s="16"/>
      <c r="F34" s="17"/>
      <c r="G34" s="18"/>
      <c r="H34" s="18"/>
      <c r="I34" s="37" t="str">
        <f ca="1">IF(H34="","",VLOOKUP(H34,WeightClasses!$A$2:$E$18,IF(LEFT(G34,1)="F",IF(YEAR(TODAY())-F34&lt;24,4,2),IF(YEAR(TODAY())-F34&lt;24,5,3)),TRUE))</f>
        <v/>
      </c>
      <c r="J34" s="19"/>
      <c r="K34" s="38"/>
      <c r="L34" s="19"/>
      <c r="M34" s="38"/>
      <c r="N34" s="19"/>
      <c r="O34" s="38"/>
      <c r="P34" s="39" t="str">
        <f t="shared" si="18"/>
        <v/>
      </c>
      <c r="Q34" s="19"/>
      <c r="R34" s="38"/>
      <c r="S34" s="19"/>
      <c r="T34" s="38"/>
      <c r="U34" s="19"/>
      <c r="V34" s="38"/>
      <c r="W34" s="39" t="str">
        <f t="shared" si="2"/>
        <v/>
      </c>
      <c r="X34" s="19"/>
      <c r="Y34" s="38"/>
      <c r="Z34" s="19"/>
      <c r="AA34" s="38"/>
      <c r="AB34" s="19"/>
      <c r="AC34" s="38"/>
      <c r="AD34" s="39" t="str">
        <f t="shared" si="3"/>
        <v/>
      </c>
      <c r="AE34" s="40" t="str">
        <f t="shared" si="4"/>
        <v/>
      </c>
      <c r="AF34" s="48" t="str">
        <f t="shared" si="19"/>
        <v/>
      </c>
      <c r="AG34" s="52">
        <f>IF(OR(H34="",H34=0),0, ROUND(100/(VLOOKUP($G34,'IPF GL Formula'!$A$4:$F$11,3,FALSE)-VLOOKUP($G34,'IPF GL Formula'!$A$4:$F$11,4,FALSE)*EXP(-VLOOKUP($G34,'IPF GL Formula'!$A$4:$F$11,5,FALSE)*H34)),6))</f>
        <v>0</v>
      </c>
      <c r="AH34" s="9"/>
      <c r="AI34" s="57" t="b">
        <f t="shared" si="5"/>
        <v>0</v>
      </c>
      <c r="AJ34" s="57" t="b">
        <f t="shared" si="6"/>
        <v>0</v>
      </c>
      <c r="AK34" s="57" t="b">
        <f t="shared" si="7"/>
        <v>0</v>
      </c>
      <c r="AL34" s="57" t="b">
        <f t="shared" si="8"/>
        <v>0</v>
      </c>
      <c r="AM34" s="57" t="b">
        <f t="shared" si="9"/>
        <v>0</v>
      </c>
      <c r="AN34" s="57" t="b">
        <f t="shared" si="10"/>
        <v>0</v>
      </c>
      <c r="AO34" s="57" t="b">
        <f t="shared" si="11"/>
        <v>0</v>
      </c>
      <c r="AP34" s="57" t="b">
        <f t="shared" si="12"/>
        <v>0</v>
      </c>
      <c r="AQ34" s="57" t="b">
        <f t="shared" si="13"/>
        <v>0</v>
      </c>
      <c r="AR34" s="53" t="b">
        <f t="shared" si="14"/>
        <v>0</v>
      </c>
      <c r="AS34" s="53" t="b">
        <f t="shared" si="15"/>
        <v>0</v>
      </c>
      <c r="AT34" s="53" t="b">
        <f t="shared" si="16"/>
        <v>0</v>
      </c>
      <c r="AU34" s="53" t="b">
        <f t="shared" si="17"/>
        <v>0</v>
      </c>
      <c r="AV34" s="54"/>
      <c r="AW34" s="9"/>
      <c r="AX34" s="9"/>
      <c r="AY34" s="9"/>
    </row>
    <row r="35" spans="1:51" x14ac:dyDescent="0.25">
      <c r="A35" s="15"/>
      <c r="B35" s="15"/>
      <c r="C35" s="16"/>
      <c r="D35" s="16"/>
      <c r="E35" s="16"/>
      <c r="F35" s="17"/>
      <c r="G35" s="18"/>
      <c r="H35" s="18"/>
      <c r="I35" s="37" t="str">
        <f ca="1">IF(H35="","",VLOOKUP(H35,WeightClasses!$A$2:$E$18,IF(LEFT(G35,1)="F",IF(YEAR(TODAY())-F35&lt;24,4,2),IF(YEAR(TODAY())-F35&lt;24,5,3)),TRUE))</f>
        <v/>
      </c>
      <c r="J35" s="19"/>
      <c r="K35" s="38"/>
      <c r="L35" s="19"/>
      <c r="M35" s="38"/>
      <c r="N35" s="19"/>
      <c r="O35" s="38"/>
      <c r="P35" s="39" t="str">
        <f t="shared" si="18"/>
        <v/>
      </c>
      <c r="Q35" s="19"/>
      <c r="R35" s="38"/>
      <c r="S35" s="19"/>
      <c r="T35" s="38"/>
      <c r="U35" s="19"/>
      <c r="V35" s="38"/>
      <c r="W35" s="39" t="str">
        <f t="shared" si="2"/>
        <v/>
      </c>
      <c r="X35" s="19"/>
      <c r="Y35" s="38"/>
      <c r="Z35" s="19"/>
      <c r="AA35" s="38"/>
      <c r="AB35" s="19"/>
      <c r="AC35" s="38"/>
      <c r="AD35" s="39" t="str">
        <f t="shared" si="3"/>
        <v/>
      </c>
      <c r="AE35" s="40" t="str">
        <f t="shared" si="4"/>
        <v/>
      </c>
      <c r="AF35" s="48" t="str">
        <f t="shared" si="19"/>
        <v/>
      </c>
      <c r="AG35" s="52">
        <f>IF(OR(H35="",H35=0),0, ROUND(100/(VLOOKUP($G35,'IPF GL Formula'!$A$4:$F$11,3,FALSE)-VLOOKUP($G35,'IPF GL Formula'!$A$4:$F$11,4,FALSE)*EXP(-VLOOKUP($G35,'IPF GL Formula'!$A$4:$F$11,5,FALSE)*H35)),6))</f>
        <v>0</v>
      </c>
      <c r="AH35" s="9"/>
      <c r="AI35" s="57" t="b">
        <f t="shared" si="5"/>
        <v>0</v>
      </c>
      <c r="AJ35" s="57" t="b">
        <f t="shared" si="6"/>
        <v>0</v>
      </c>
      <c r="AK35" s="57" t="b">
        <f t="shared" si="7"/>
        <v>0</v>
      </c>
      <c r="AL35" s="57" t="b">
        <f t="shared" si="8"/>
        <v>0</v>
      </c>
      <c r="AM35" s="57" t="b">
        <f t="shared" si="9"/>
        <v>0</v>
      </c>
      <c r="AN35" s="57" t="b">
        <f t="shared" si="10"/>
        <v>0</v>
      </c>
      <c r="AO35" s="57" t="b">
        <f t="shared" si="11"/>
        <v>0</v>
      </c>
      <c r="AP35" s="57" t="b">
        <f t="shared" si="12"/>
        <v>0</v>
      </c>
      <c r="AQ35" s="57" t="b">
        <f t="shared" si="13"/>
        <v>0</v>
      </c>
      <c r="AR35" s="53" t="b">
        <f t="shared" si="14"/>
        <v>0</v>
      </c>
      <c r="AS35" s="53" t="b">
        <f t="shared" si="15"/>
        <v>0</v>
      </c>
      <c r="AT35" s="53" t="b">
        <f t="shared" si="16"/>
        <v>0</v>
      </c>
      <c r="AU35" s="53" t="b">
        <f t="shared" si="17"/>
        <v>0</v>
      </c>
      <c r="AV35" s="54"/>
      <c r="AW35" s="9"/>
      <c r="AX35" s="9"/>
      <c r="AY35" s="9"/>
    </row>
    <row r="36" spans="1:51" x14ac:dyDescent="0.25">
      <c r="A36" s="15"/>
      <c r="B36" s="15"/>
      <c r="C36" s="16"/>
      <c r="D36" s="16"/>
      <c r="E36" s="16"/>
      <c r="F36" s="17"/>
      <c r="G36" s="18"/>
      <c r="H36" s="18"/>
      <c r="I36" s="37" t="str">
        <f ca="1">IF(H36="","",VLOOKUP(H36,WeightClasses!$A$2:$E$18,IF(LEFT(G36,1)="F",IF(YEAR(TODAY())-F36&lt;24,4,2),IF(YEAR(TODAY())-F36&lt;24,5,3)),TRUE))</f>
        <v/>
      </c>
      <c r="J36" s="19"/>
      <c r="K36" s="38"/>
      <c r="L36" s="19"/>
      <c r="M36" s="38"/>
      <c r="N36" s="19"/>
      <c r="O36" s="38"/>
      <c r="P36" s="39" t="str">
        <f t="shared" si="18"/>
        <v/>
      </c>
      <c r="Q36" s="19"/>
      <c r="R36" s="38"/>
      <c r="S36" s="19"/>
      <c r="T36" s="38"/>
      <c r="U36" s="19"/>
      <c r="V36" s="38"/>
      <c r="W36" s="39" t="str">
        <f t="shared" si="2"/>
        <v/>
      </c>
      <c r="X36" s="19"/>
      <c r="Y36" s="38"/>
      <c r="Z36" s="19"/>
      <c r="AA36" s="38"/>
      <c r="AB36" s="19"/>
      <c r="AC36" s="38"/>
      <c r="AD36" s="39" t="str">
        <f t="shared" si="3"/>
        <v/>
      </c>
      <c r="AE36" s="40" t="str">
        <f t="shared" si="4"/>
        <v/>
      </c>
      <c r="AF36" s="48" t="str">
        <f t="shared" si="19"/>
        <v/>
      </c>
      <c r="AG36" s="52">
        <f>IF(OR(H36="",H36=0),0, ROUND(100/(VLOOKUP($G36,'IPF GL Formula'!$A$4:$F$11,3,FALSE)-VLOOKUP($G36,'IPF GL Formula'!$A$4:$F$11,4,FALSE)*EXP(-VLOOKUP($G36,'IPF GL Formula'!$A$4:$F$11,5,FALSE)*H36)),6))</f>
        <v>0</v>
      </c>
      <c r="AH36" s="9"/>
      <c r="AI36" s="57" t="b">
        <f t="shared" si="5"/>
        <v>0</v>
      </c>
      <c r="AJ36" s="57" t="b">
        <f t="shared" si="6"/>
        <v>0</v>
      </c>
      <c r="AK36" s="57" t="b">
        <f t="shared" si="7"/>
        <v>0</v>
      </c>
      <c r="AL36" s="57" t="b">
        <f t="shared" si="8"/>
        <v>0</v>
      </c>
      <c r="AM36" s="57" t="b">
        <f t="shared" si="9"/>
        <v>0</v>
      </c>
      <c r="AN36" s="57" t="b">
        <f t="shared" si="10"/>
        <v>0</v>
      </c>
      <c r="AO36" s="57" t="b">
        <f t="shared" si="11"/>
        <v>0</v>
      </c>
      <c r="AP36" s="57" t="b">
        <f t="shared" si="12"/>
        <v>0</v>
      </c>
      <c r="AQ36" s="57" t="b">
        <f t="shared" si="13"/>
        <v>0</v>
      </c>
      <c r="AR36" s="53" t="b">
        <f t="shared" si="14"/>
        <v>0</v>
      </c>
      <c r="AS36" s="53" t="b">
        <f t="shared" si="15"/>
        <v>0</v>
      </c>
      <c r="AT36" s="53" t="b">
        <f t="shared" si="16"/>
        <v>0</v>
      </c>
      <c r="AU36" s="53" t="b">
        <f t="shared" si="17"/>
        <v>0</v>
      </c>
      <c r="AV36" s="54"/>
      <c r="AW36" s="9"/>
      <c r="AX36" s="9"/>
      <c r="AY36" s="9"/>
    </row>
    <row r="37" spans="1:51" x14ac:dyDescent="0.25">
      <c r="A37" s="15"/>
      <c r="B37" s="15"/>
      <c r="C37" s="16"/>
      <c r="D37" s="16"/>
      <c r="E37" s="16"/>
      <c r="F37" s="17"/>
      <c r="G37" s="18"/>
      <c r="H37" s="18"/>
      <c r="I37" s="37" t="str">
        <f ca="1">IF(H37="","",VLOOKUP(H37,WeightClasses!$A$2:$E$18,IF(LEFT(G37,1)="F",IF(YEAR(TODAY())-F37&lt;24,4,2),IF(YEAR(TODAY())-F37&lt;24,5,3)),TRUE))</f>
        <v/>
      </c>
      <c r="J37" s="19"/>
      <c r="K37" s="38"/>
      <c r="L37" s="19"/>
      <c r="M37" s="38"/>
      <c r="N37" s="19"/>
      <c r="O37" s="38"/>
      <c r="P37" s="39" t="str">
        <f t="shared" si="18"/>
        <v/>
      </c>
      <c r="Q37" s="19"/>
      <c r="R37" s="38"/>
      <c r="S37" s="19"/>
      <c r="T37" s="38"/>
      <c r="U37" s="19"/>
      <c r="V37" s="38"/>
      <c r="W37" s="39" t="str">
        <f t="shared" si="2"/>
        <v/>
      </c>
      <c r="X37" s="19"/>
      <c r="Y37" s="38"/>
      <c r="Z37" s="19"/>
      <c r="AA37" s="38"/>
      <c r="AB37" s="19"/>
      <c r="AC37" s="38"/>
      <c r="AD37" s="39" t="str">
        <f t="shared" si="3"/>
        <v/>
      </c>
      <c r="AE37" s="40" t="str">
        <f t="shared" si="4"/>
        <v/>
      </c>
      <c r="AF37" s="48" t="str">
        <f t="shared" si="19"/>
        <v/>
      </c>
      <c r="AG37" s="52">
        <f>IF(OR(H37="",H37=0),0, ROUND(100/(VLOOKUP($G37,'IPF GL Formula'!$A$4:$F$11,3,FALSE)-VLOOKUP($G37,'IPF GL Formula'!$A$4:$F$11,4,FALSE)*EXP(-VLOOKUP($G37,'IPF GL Formula'!$A$4:$F$11,5,FALSE)*H37)),6))</f>
        <v>0</v>
      </c>
      <c r="AH37" s="9"/>
      <c r="AI37" s="57" t="b">
        <f t="shared" si="5"/>
        <v>0</v>
      </c>
      <c r="AJ37" s="57" t="b">
        <f t="shared" si="6"/>
        <v>0</v>
      </c>
      <c r="AK37" s="57" t="b">
        <f t="shared" si="7"/>
        <v>0</v>
      </c>
      <c r="AL37" s="57" t="b">
        <f t="shared" si="8"/>
        <v>0</v>
      </c>
      <c r="AM37" s="57" t="b">
        <f t="shared" si="9"/>
        <v>0</v>
      </c>
      <c r="AN37" s="57" t="b">
        <f t="shared" si="10"/>
        <v>0</v>
      </c>
      <c r="AO37" s="57" t="b">
        <f t="shared" si="11"/>
        <v>0</v>
      </c>
      <c r="AP37" s="57" t="b">
        <f t="shared" si="12"/>
        <v>0</v>
      </c>
      <c r="AQ37" s="57" t="b">
        <f t="shared" si="13"/>
        <v>0</v>
      </c>
      <c r="AR37" s="53" t="b">
        <f t="shared" si="14"/>
        <v>0</v>
      </c>
      <c r="AS37" s="53" t="b">
        <f t="shared" si="15"/>
        <v>0</v>
      </c>
      <c r="AT37" s="53" t="b">
        <f t="shared" si="16"/>
        <v>0</v>
      </c>
      <c r="AU37" s="53" t="b">
        <f t="shared" si="17"/>
        <v>0</v>
      </c>
      <c r="AV37" s="54"/>
      <c r="AW37" s="9"/>
      <c r="AX37" s="9"/>
      <c r="AY37" s="9"/>
    </row>
    <row r="38" spans="1:51" x14ac:dyDescent="0.25">
      <c r="A38" s="15"/>
      <c r="B38" s="15"/>
      <c r="C38" s="16"/>
      <c r="D38" s="16"/>
      <c r="E38" s="16"/>
      <c r="F38" s="17"/>
      <c r="G38" s="18"/>
      <c r="H38" s="18"/>
      <c r="I38" s="37" t="str">
        <f ca="1">IF(H38="","",VLOOKUP(H38,WeightClasses!$A$2:$E$18,IF(LEFT(G38,1)="F",IF(YEAR(TODAY())-F38&lt;24,4,2),IF(YEAR(TODAY())-F38&lt;24,5,3)),TRUE))</f>
        <v/>
      </c>
      <c r="J38" s="19"/>
      <c r="K38" s="38"/>
      <c r="L38" s="19"/>
      <c r="M38" s="38"/>
      <c r="N38" s="19"/>
      <c r="O38" s="38"/>
      <c r="P38" s="39" t="str">
        <f t="shared" si="18"/>
        <v/>
      </c>
      <c r="Q38" s="19"/>
      <c r="R38" s="38"/>
      <c r="S38" s="19"/>
      <c r="T38" s="38"/>
      <c r="U38" s="19"/>
      <c r="V38" s="38"/>
      <c r="W38" s="39" t="str">
        <f t="shared" si="2"/>
        <v/>
      </c>
      <c r="X38" s="19"/>
      <c r="Y38" s="38"/>
      <c r="Z38" s="19"/>
      <c r="AA38" s="38"/>
      <c r="AB38" s="19"/>
      <c r="AC38" s="38"/>
      <c r="AD38" s="39" t="str">
        <f t="shared" si="3"/>
        <v/>
      </c>
      <c r="AE38" s="40" t="str">
        <f t="shared" si="4"/>
        <v/>
      </c>
      <c r="AF38" s="48" t="str">
        <f t="shared" si="19"/>
        <v/>
      </c>
      <c r="AG38" s="52">
        <f>IF(OR(H38="",H38=0),0, ROUND(100/(VLOOKUP($G38,'IPF GL Formula'!$A$4:$F$11,3,FALSE)-VLOOKUP($G38,'IPF GL Formula'!$A$4:$F$11,4,FALSE)*EXP(-VLOOKUP($G38,'IPF GL Formula'!$A$4:$F$11,5,FALSE)*H38)),6))</f>
        <v>0</v>
      </c>
      <c r="AH38" s="9"/>
      <c r="AI38" s="57" t="b">
        <f t="shared" si="5"/>
        <v>0</v>
      </c>
      <c r="AJ38" s="57" t="b">
        <f t="shared" si="6"/>
        <v>0</v>
      </c>
      <c r="AK38" s="57" t="b">
        <f t="shared" si="7"/>
        <v>0</v>
      </c>
      <c r="AL38" s="57" t="b">
        <f t="shared" si="8"/>
        <v>0</v>
      </c>
      <c r="AM38" s="57" t="b">
        <f t="shared" si="9"/>
        <v>0</v>
      </c>
      <c r="AN38" s="57" t="b">
        <f t="shared" si="10"/>
        <v>0</v>
      </c>
      <c r="AO38" s="57" t="b">
        <f t="shared" si="11"/>
        <v>0</v>
      </c>
      <c r="AP38" s="57" t="b">
        <f t="shared" si="12"/>
        <v>0</v>
      </c>
      <c r="AQ38" s="57" t="b">
        <f t="shared" si="13"/>
        <v>0</v>
      </c>
      <c r="AR38" s="53" t="b">
        <f t="shared" si="14"/>
        <v>0</v>
      </c>
      <c r="AS38" s="53" t="b">
        <f t="shared" si="15"/>
        <v>0</v>
      </c>
      <c r="AT38" s="53" t="b">
        <f t="shared" si="16"/>
        <v>0</v>
      </c>
      <c r="AU38" s="53" t="b">
        <f t="shared" si="17"/>
        <v>0</v>
      </c>
      <c r="AV38" s="54"/>
      <c r="AW38" s="9"/>
      <c r="AX38" s="9"/>
      <c r="AY38" s="9"/>
    </row>
    <row r="39" spans="1:51" x14ac:dyDescent="0.25">
      <c r="A39" s="15"/>
      <c r="B39" s="15"/>
      <c r="C39" s="16"/>
      <c r="D39" s="16"/>
      <c r="E39" s="16"/>
      <c r="F39" s="17"/>
      <c r="G39" s="18"/>
      <c r="H39" s="18"/>
      <c r="I39" s="37" t="str">
        <f ca="1">IF(H39="","",VLOOKUP(H39,WeightClasses!$A$2:$E$18,IF(LEFT(G39,1)="F",IF(YEAR(TODAY())-F39&lt;24,4,2),IF(YEAR(TODAY())-F39&lt;24,5,3)),TRUE))</f>
        <v/>
      </c>
      <c r="J39" s="19"/>
      <c r="K39" s="38"/>
      <c r="L39" s="19"/>
      <c r="M39" s="38"/>
      <c r="N39" s="19"/>
      <c r="O39" s="38"/>
      <c r="P39" s="39" t="str">
        <f t="shared" si="18"/>
        <v/>
      </c>
      <c r="Q39" s="19"/>
      <c r="R39" s="38"/>
      <c r="S39" s="19"/>
      <c r="T39" s="38"/>
      <c r="U39" s="19"/>
      <c r="V39" s="38"/>
      <c r="W39" s="39" t="str">
        <f t="shared" si="2"/>
        <v/>
      </c>
      <c r="X39" s="19"/>
      <c r="Y39" s="38"/>
      <c r="Z39" s="19"/>
      <c r="AA39" s="38"/>
      <c r="AB39" s="19"/>
      <c r="AC39" s="38"/>
      <c r="AD39" s="39" t="str">
        <f t="shared" si="3"/>
        <v/>
      </c>
      <c r="AE39" s="40" t="str">
        <f t="shared" si="4"/>
        <v/>
      </c>
      <c r="AF39" s="48" t="str">
        <f t="shared" si="19"/>
        <v/>
      </c>
      <c r="AG39" s="52">
        <f>IF(OR(H39="",H39=0),0, ROUND(100/(VLOOKUP($G39,'IPF GL Formula'!$A$4:$F$11,3,FALSE)-VLOOKUP($G39,'IPF GL Formula'!$A$4:$F$11,4,FALSE)*EXP(-VLOOKUP($G39,'IPF GL Formula'!$A$4:$F$11,5,FALSE)*H39)),6))</f>
        <v>0</v>
      </c>
      <c r="AH39" s="9"/>
      <c r="AI39" s="57" t="b">
        <f t="shared" si="5"/>
        <v>0</v>
      </c>
      <c r="AJ39" s="57" t="b">
        <f t="shared" si="6"/>
        <v>0</v>
      </c>
      <c r="AK39" s="57" t="b">
        <f t="shared" si="7"/>
        <v>0</v>
      </c>
      <c r="AL39" s="57" t="b">
        <f t="shared" si="8"/>
        <v>0</v>
      </c>
      <c r="AM39" s="57" t="b">
        <f t="shared" si="9"/>
        <v>0</v>
      </c>
      <c r="AN39" s="57" t="b">
        <f t="shared" si="10"/>
        <v>0</v>
      </c>
      <c r="AO39" s="57" t="b">
        <f t="shared" si="11"/>
        <v>0</v>
      </c>
      <c r="AP39" s="57" t="b">
        <f t="shared" si="12"/>
        <v>0</v>
      </c>
      <c r="AQ39" s="57" t="b">
        <f t="shared" si="13"/>
        <v>0</v>
      </c>
      <c r="AR39" s="53" t="b">
        <f t="shared" si="14"/>
        <v>0</v>
      </c>
      <c r="AS39" s="53" t="b">
        <f t="shared" si="15"/>
        <v>0</v>
      </c>
      <c r="AT39" s="53" t="b">
        <f t="shared" si="16"/>
        <v>0</v>
      </c>
      <c r="AU39" s="53" t="b">
        <f t="shared" si="17"/>
        <v>0</v>
      </c>
      <c r="AV39" s="54"/>
      <c r="AW39" s="9"/>
      <c r="AX39" s="9"/>
      <c r="AY39" s="9"/>
    </row>
    <row r="40" spans="1:51" x14ac:dyDescent="0.25">
      <c r="A40" s="15"/>
      <c r="B40" s="15"/>
      <c r="C40" s="16"/>
      <c r="D40" s="16"/>
      <c r="E40" s="16"/>
      <c r="F40" s="17"/>
      <c r="G40" s="18"/>
      <c r="H40" s="18"/>
      <c r="I40" s="37" t="str">
        <f ca="1">IF(H40="","",VLOOKUP(H40,WeightClasses!$A$2:$E$18,IF(LEFT(G40,1)="F",IF(YEAR(TODAY())-F40&lt;24,4,2),IF(YEAR(TODAY())-F40&lt;24,5,3)),TRUE))</f>
        <v/>
      </c>
      <c r="J40" s="19"/>
      <c r="K40" s="38"/>
      <c r="L40" s="19"/>
      <c r="M40" s="38"/>
      <c r="N40" s="19"/>
      <c r="O40" s="38"/>
      <c r="P40" s="39" t="str">
        <f t="shared" si="18"/>
        <v/>
      </c>
      <c r="Q40" s="19"/>
      <c r="R40" s="38"/>
      <c r="S40" s="19"/>
      <c r="T40" s="38"/>
      <c r="U40" s="19"/>
      <c r="V40" s="38"/>
      <c r="W40" s="39" t="str">
        <f t="shared" si="2"/>
        <v/>
      </c>
      <c r="X40" s="19"/>
      <c r="Y40" s="38"/>
      <c r="Z40" s="19"/>
      <c r="AA40" s="38"/>
      <c r="AB40" s="19"/>
      <c r="AC40" s="38"/>
      <c r="AD40" s="39" t="str">
        <f t="shared" si="3"/>
        <v/>
      </c>
      <c r="AE40" s="40" t="str">
        <f t="shared" si="4"/>
        <v/>
      </c>
      <c r="AF40" s="48" t="str">
        <f t="shared" si="19"/>
        <v/>
      </c>
      <c r="AG40" s="52">
        <f>IF(OR(H40="",H40=0),0, ROUND(100/(VLOOKUP($G40,'IPF GL Formula'!$A$4:$F$11,3,FALSE)-VLOOKUP($G40,'IPF GL Formula'!$A$4:$F$11,4,FALSE)*EXP(-VLOOKUP($G40,'IPF GL Formula'!$A$4:$F$11,5,FALSE)*H40)),6))</f>
        <v>0</v>
      </c>
      <c r="AH40" s="9"/>
      <c r="AI40" s="57" t="b">
        <f t="shared" si="5"/>
        <v>0</v>
      </c>
      <c r="AJ40" s="57" t="b">
        <f t="shared" si="6"/>
        <v>0</v>
      </c>
      <c r="AK40" s="57" t="b">
        <f t="shared" si="7"/>
        <v>0</v>
      </c>
      <c r="AL40" s="57" t="b">
        <f t="shared" si="8"/>
        <v>0</v>
      </c>
      <c r="AM40" s="57" t="b">
        <f t="shared" si="9"/>
        <v>0</v>
      </c>
      <c r="AN40" s="57" t="b">
        <f t="shared" si="10"/>
        <v>0</v>
      </c>
      <c r="AO40" s="57" t="b">
        <f t="shared" si="11"/>
        <v>0</v>
      </c>
      <c r="AP40" s="57" t="b">
        <f t="shared" si="12"/>
        <v>0</v>
      </c>
      <c r="AQ40" s="57" t="b">
        <f t="shared" si="13"/>
        <v>0</v>
      </c>
      <c r="AR40" s="53" t="b">
        <f t="shared" si="14"/>
        <v>0</v>
      </c>
      <c r="AS40" s="53" t="b">
        <f t="shared" si="15"/>
        <v>0</v>
      </c>
      <c r="AT40" s="53" t="b">
        <f t="shared" si="16"/>
        <v>0</v>
      </c>
      <c r="AU40" s="53" t="b">
        <f t="shared" si="17"/>
        <v>0</v>
      </c>
      <c r="AV40" s="54"/>
      <c r="AW40" s="9"/>
      <c r="AX40" s="9"/>
      <c r="AY40" s="9"/>
    </row>
    <row r="41" spans="1:51" x14ac:dyDescent="0.25">
      <c r="A41" s="15"/>
      <c r="B41" s="15"/>
      <c r="C41" s="16"/>
      <c r="D41" s="16"/>
      <c r="E41" s="16"/>
      <c r="F41" s="17"/>
      <c r="G41" s="18"/>
      <c r="H41" s="18"/>
      <c r="I41" s="37" t="str">
        <f ca="1">IF(H41="","",VLOOKUP(H41,WeightClasses!$A$2:$E$18,IF(LEFT(G41,1)="F",IF(YEAR(TODAY())-F41&lt;24,4,2),IF(YEAR(TODAY())-F41&lt;24,5,3)),TRUE))</f>
        <v/>
      </c>
      <c r="J41" s="19"/>
      <c r="K41" s="38"/>
      <c r="L41" s="19"/>
      <c r="M41" s="38"/>
      <c r="N41" s="19"/>
      <c r="O41" s="38"/>
      <c r="P41" s="39" t="str">
        <f t="shared" si="18"/>
        <v/>
      </c>
      <c r="Q41" s="19"/>
      <c r="R41" s="38"/>
      <c r="S41" s="19"/>
      <c r="T41" s="38"/>
      <c r="U41" s="19"/>
      <c r="V41" s="38"/>
      <c r="W41" s="39" t="str">
        <f t="shared" si="2"/>
        <v/>
      </c>
      <c r="X41" s="19"/>
      <c r="Y41" s="38"/>
      <c r="Z41" s="19"/>
      <c r="AA41" s="38"/>
      <c r="AB41" s="19"/>
      <c r="AC41" s="38"/>
      <c r="AD41" s="39" t="str">
        <f t="shared" si="3"/>
        <v/>
      </c>
      <c r="AE41" s="40" t="str">
        <f t="shared" si="4"/>
        <v/>
      </c>
      <c r="AF41" s="48" t="str">
        <f t="shared" si="19"/>
        <v/>
      </c>
      <c r="AG41" s="52">
        <f>IF(OR(H41="",H41=0),0, ROUND(100/(VLOOKUP($G41,'IPF GL Formula'!$A$4:$F$11,3,FALSE)-VLOOKUP($G41,'IPF GL Formula'!$A$4:$F$11,4,FALSE)*EXP(-VLOOKUP($G41,'IPF GL Formula'!$A$4:$F$11,5,FALSE)*H41)),6))</f>
        <v>0</v>
      </c>
      <c r="AH41" s="9"/>
      <c r="AI41" s="57" t="b">
        <f t="shared" si="5"/>
        <v>0</v>
      </c>
      <c r="AJ41" s="57" t="b">
        <f t="shared" si="6"/>
        <v>0</v>
      </c>
      <c r="AK41" s="57" t="b">
        <f t="shared" si="7"/>
        <v>0</v>
      </c>
      <c r="AL41" s="57" t="b">
        <f t="shared" si="8"/>
        <v>0</v>
      </c>
      <c r="AM41" s="57" t="b">
        <f t="shared" si="9"/>
        <v>0</v>
      </c>
      <c r="AN41" s="57" t="b">
        <f t="shared" si="10"/>
        <v>0</v>
      </c>
      <c r="AO41" s="57" t="b">
        <f t="shared" si="11"/>
        <v>0</v>
      </c>
      <c r="AP41" s="57" t="b">
        <f t="shared" si="12"/>
        <v>0</v>
      </c>
      <c r="AQ41" s="57" t="b">
        <f t="shared" si="13"/>
        <v>0</v>
      </c>
      <c r="AR41" s="53" t="b">
        <f t="shared" si="14"/>
        <v>0</v>
      </c>
      <c r="AS41" s="53" t="b">
        <f t="shared" si="15"/>
        <v>0</v>
      </c>
      <c r="AT41" s="53" t="b">
        <f t="shared" si="16"/>
        <v>0</v>
      </c>
      <c r="AU41" s="53" t="b">
        <f t="shared" si="17"/>
        <v>0</v>
      </c>
      <c r="AV41" s="54"/>
      <c r="AW41" s="9"/>
      <c r="AX41" s="9"/>
      <c r="AY41" s="9"/>
    </row>
    <row r="42" spans="1:51" x14ac:dyDescent="0.25">
      <c r="A42" s="15"/>
      <c r="B42" s="15"/>
      <c r="C42" s="16"/>
      <c r="D42" s="16"/>
      <c r="E42" s="16"/>
      <c r="F42" s="17"/>
      <c r="G42" s="18"/>
      <c r="H42" s="18"/>
      <c r="I42" s="37" t="str">
        <f ca="1">IF(H42="","",VLOOKUP(H42,WeightClasses!$A$2:$E$18,IF(LEFT(G42,1)="F",IF(YEAR(TODAY())-F42&lt;24,4,2),IF(YEAR(TODAY())-F42&lt;24,5,3)),TRUE))</f>
        <v/>
      </c>
      <c r="J42" s="19"/>
      <c r="K42" s="38"/>
      <c r="L42" s="19"/>
      <c r="M42" s="38"/>
      <c r="N42" s="19"/>
      <c r="O42" s="38"/>
      <c r="P42" s="39" t="str">
        <f t="shared" si="18"/>
        <v/>
      </c>
      <c r="Q42" s="19"/>
      <c r="R42" s="38"/>
      <c r="S42" s="19"/>
      <c r="T42" s="38"/>
      <c r="U42" s="19"/>
      <c r="V42" s="38"/>
      <c r="W42" s="39" t="str">
        <f t="shared" si="2"/>
        <v/>
      </c>
      <c r="X42" s="19"/>
      <c r="Y42" s="38"/>
      <c r="Z42" s="19"/>
      <c r="AA42" s="38"/>
      <c r="AB42" s="19"/>
      <c r="AC42" s="38"/>
      <c r="AD42" s="39" t="str">
        <f t="shared" si="3"/>
        <v/>
      </c>
      <c r="AE42" s="40" t="str">
        <f t="shared" si="4"/>
        <v/>
      </c>
      <c r="AF42" s="48" t="str">
        <f t="shared" si="19"/>
        <v/>
      </c>
      <c r="AG42" s="52">
        <f>IF(OR(H42="",H42=0),0, ROUND(100/(VLOOKUP($G42,'IPF GL Formula'!$A$4:$F$11,3,FALSE)-VLOOKUP($G42,'IPF GL Formula'!$A$4:$F$11,4,FALSE)*EXP(-VLOOKUP($G42,'IPF GL Formula'!$A$4:$F$11,5,FALSE)*H42)),6))</f>
        <v>0</v>
      </c>
      <c r="AH42" s="9"/>
      <c r="AI42" s="57" t="b">
        <f t="shared" si="5"/>
        <v>0</v>
      </c>
      <c r="AJ42" s="57" t="b">
        <f t="shared" si="6"/>
        <v>0</v>
      </c>
      <c r="AK42" s="57" t="b">
        <f t="shared" si="7"/>
        <v>0</v>
      </c>
      <c r="AL42" s="57" t="b">
        <f t="shared" si="8"/>
        <v>0</v>
      </c>
      <c r="AM42" s="57" t="b">
        <f t="shared" si="9"/>
        <v>0</v>
      </c>
      <c r="AN42" s="57" t="b">
        <f t="shared" si="10"/>
        <v>0</v>
      </c>
      <c r="AO42" s="57" t="b">
        <f t="shared" si="11"/>
        <v>0</v>
      </c>
      <c r="AP42" s="57" t="b">
        <f t="shared" si="12"/>
        <v>0</v>
      </c>
      <c r="AQ42" s="57" t="b">
        <f t="shared" si="13"/>
        <v>0</v>
      </c>
      <c r="AR42" s="53" t="b">
        <f t="shared" si="14"/>
        <v>0</v>
      </c>
      <c r="AS42" s="53" t="b">
        <f t="shared" si="15"/>
        <v>0</v>
      </c>
      <c r="AT42" s="53" t="b">
        <f t="shared" si="16"/>
        <v>0</v>
      </c>
      <c r="AU42" s="53" t="b">
        <f t="shared" si="17"/>
        <v>0</v>
      </c>
      <c r="AV42" s="54"/>
      <c r="AW42" s="9"/>
      <c r="AX42" s="9"/>
      <c r="AY42" s="9"/>
    </row>
    <row r="43" spans="1:51" x14ac:dyDescent="0.25">
      <c r="A43" s="15"/>
      <c r="B43" s="15"/>
      <c r="C43" s="16"/>
      <c r="D43" s="16"/>
      <c r="E43" s="16"/>
      <c r="F43" s="17"/>
      <c r="G43" s="18"/>
      <c r="H43" s="18"/>
      <c r="I43" s="37" t="str">
        <f ca="1">IF(H43="","",VLOOKUP(H43,WeightClasses!$A$2:$E$18,IF(LEFT(G43,1)="F",IF(YEAR(TODAY())-F43&lt;24,4,2),IF(YEAR(TODAY())-F43&lt;24,5,3)),TRUE))</f>
        <v/>
      </c>
      <c r="J43" s="19"/>
      <c r="K43" s="38"/>
      <c r="L43" s="19"/>
      <c r="M43" s="38"/>
      <c r="N43" s="19"/>
      <c r="O43" s="38"/>
      <c r="P43" s="39" t="str">
        <f t="shared" si="18"/>
        <v/>
      </c>
      <c r="Q43" s="19"/>
      <c r="R43" s="38"/>
      <c r="S43" s="19"/>
      <c r="T43" s="38"/>
      <c r="U43" s="19"/>
      <c r="V43" s="38"/>
      <c r="W43" s="39" t="str">
        <f t="shared" si="2"/>
        <v/>
      </c>
      <c r="X43" s="19"/>
      <c r="Y43" s="38"/>
      <c r="Z43" s="19"/>
      <c r="AA43" s="38"/>
      <c r="AB43" s="19"/>
      <c r="AC43" s="38"/>
      <c r="AD43" s="39" t="str">
        <f t="shared" si="3"/>
        <v/>
      </c>
      <c r="AE43" s="40" t="str">
        <f t="shared" si="4"/>
        <v/>
      </c>
      <c r="AF43" s="48" t="str">
        <f t="shared" si="19"/>
        <v/>
      </c>
      <c r="AG43" s="52">
        <f>IF(OR(H43="",H43=0),0, ROUND(100/(VLOOKUP($G43,'IPF GL Formula'!$A$4:$F$11,3,FALSE)-VLOOKUP($G43,'IPF GL Formula'!$A$4:$F$11,4,FALSE)*EXP(-VLOOKUP($G43,'IPF GL Formula'!$A$4:$F$11,5,FALSE)*H43)),6))</f>
        <v>0</v>
      </c>
      <c r="AH43" s="9"/>
      <c r="AI43" s="57" t="b">
        <f t="shared" si="5"/>
        <v>0</v>
      </c>
      <c r="AJ43" s="57" t="b">
        <f t="shared" si="6"/>
        <v>0</v>
      </c>
      <c r="AK43" s="57" t="b">
        <f t="shared" si="7"/>
        <v>0</v>
      </c>
      <c r="AL43" s="57" t="b">
        <f t="shared" si="8"/>
        <v>0</v>
      </c>
      <c r="AM43" s="57" t="b">
        <f t="shared" si="9"/>
        <v>0</v>
      </c>
      <c r="AN43" s="57" t="b">
        <f t="shared" si="10"/>
        <v>0</v>
      </c>
      <c r="AO43" s="57" t="b">
        <f t="shared" si="11"/>
        <v>0</v>
      </c>
      <c r="AP43" s="57" t="b">
        <f t="shared" si="12"/>
        <v>0</v>
      </c>
      <c r="AQ43" s="57" t="b">
        <f t="shared" si="13"/>
        <v>0</v>
      </c>
      <c r="AR43" s="53" t="b">
        <f t="shared" si="14"/>
        <v>0</v>
      </c>
      <c r="AS43" s="53" t="b">
        <f t="shared" si="15"/>
        <v>0</v>
      </c>
      <c r="AT43" s="53" t="b">
        <f t="shared" si="16"/>
        <v>0</v>
      </c>
      <c r="AU43" s="53" t="b">
        <f t="shared" si="17"/>
        <v>0</v>
      </c>
      <c r="AV43" s="54"/>
      <c r="AW43" s="9"/>
      <c r="AX43" s="9"/>
      <c r="AY43" s="9"/>
    </row>
    <row r="44" spans="1:51" x14ac:dyDescent="0.25">
      <c r="A44" s="15"/>
      <c r="B44" s="15"/>
      <c r="C44" s="16"/>
      <c r="D44" s="16"/>
      <c r="E44" s="16"/>
      <c r="F44" s="17"/>
      <c r="G44" s="18"/>
      <c r="H44" s="18"/>
      <c r="I44" s="37" t="str">
        <f ca="1">IF(H44="","",VLOOKUP(H44,WeightClasses!$A$2:$E$18,IF(LEFT(G44,1)="F",IF(YEAR(TODAY())-F44&lt;24,4,2),IF(YEAR(TODAY())-F44&lt;24,5,3)),TRUE))</f>
        <v/>
      </c>
      <c r="J44" s="19"/>
      <c r="K44" s="38"/>
      <c r="L44" s="19"/>
      <c r="M44" s="38"/>
      <c r="N44" s="19"/>
      <c r="O44" s="38"/>
      <c r="P44" s="39" t="str">
        <f t="shared" si="18"/>
        <v/>
      </c>
      <c r="Q44" s="19"/>
      <c r="R44" s="38"/>
      <c r="S44" s="19"/>
      <c r="T44" s="38"/>
      <c r="U44" s="19"/>
      <c r="V44" s="38"/>
      <c r="W44" s="39" t="str">
        <f t="shared" si="2"/>
        <v/>
      </c>
      <c r="X44" s="19"/>
      <c r="Y44" s="38"/>
      <c r="Z44" s="19"/>
      <c r="AA44" s="38"/>
      <c r="AB44" s="19"/>
      <c r="AC44" s="38"/>
      <c r="AD44" s="39" t="str">
        <f t="shared" si="3"/>
        <v/>
      </c>
      <c r="AE44" s="40" t="str">
        <f t="shared" si="4"/>
        <v/>
      </c>
      <c r="AF44" s="48" t="str">
        <f t="shared" si="19"/>
        <v/>
      </c>
      <c r="AG44" s="52">
        <f>IF(OR(H44="",H44=0),0, ROUND(100/(VLOOKUP($G44,'IPF GL Formula'!$A$4:$F$11,3,FALSE)-VLOOKUP($G44,'IPF GL Formula'!$A$4:$F$11,4,FALSE)*EXP(-VLOOKUP($G44,'IPF GL Formula'!$A$4:$F$11,5,FALSE)*H44)),6))</f>
        <v>0</v>
      </c>
      <c r="AH44" s="9"/>
      <c r="AI44" s="57" t="b">
        <f t="shared" si="5"/>
        <v>0</v>
      </c>
      <c r="AJ44" s="57" t="b">
        <f t="shared" si="6"/>
        <v>0</v>
      </c>
      <c r="AK44" s="57" t="b">
        <f t="shared" si="7"/>
        <v>0</v>
      </c>
      <c r="AL44" s="57" t="b">
        <f t="shared" si="8"/>
        <v>0</v>
      </c>
      <c r="AM44" s="57" t="b">
        <f t="shared" si="9"/>
        <v>0</v>
      </c>
      <c r="AN44" s="57" t="b">
        <f t="shared" si="10"/>
        <v>0</v>
      </c>
      <c r="AO44" s="57" t="b">
        <f t="shared" si="11"/>
        <v>0</v>
      </c>
      <c r="AP44" s="57" t="b">
        <f t="shared" si="12"/>
        <v>0</v>
      </c>
      <c r="AQ44" s="57" t="b">
        <f t="shared" si="13"/>
        <v>0</v>
      </c>
      <c r="AR44" s="53" t="b">
        <f t="shared" si="14"/>
        <v>0</v>
      </c>
      <c r="AS44" s="53" t="b">
        <f t="shared" si="15"/>
        <v>0</v>
      </c>
      <c r="AT44" s="53" t="b">
        <f t="shared" si="16"/>
        <v>0</v>
      </c>
      <c r="AU44" s="53" t="b">
        <f t="shared" si="17"/>
        <v>0</v>
      </c>
      <c r="AV44" s="54"/>
      <c r="AW44" s="9"/>
      <c r="AX44" s="9"/>
      <c r="AY44" s="9"/>
    </row>
    <row r="45" spans="1:51" x14ac:dyDescent="0.25">
      <c r="A45" s="15"/>
      <c r="B45" s="15"/>
      <c r="C45" s="16"/>
      <c r="D45" s="16"/>
      <c r="E45" s="16"/>
      <c r="F45" s="17"/>
      <c r="G45" s="18"/>
      <c r="H45" s="18"/>
      <c r="I45" s="37" t="str">
        <f ca="1">IF(H45="","",VLOOKUP(H45,WeightClasses!$A$2:$E$18,IF(LEFT(G45,1)="F",IF(YEAR(TODAY())-F45&lt;24,4,2),IF(YEAR(TODAY())-F45&lt;24,5,3)),TRUE))</f>
        <v/>
      </c>
      <c r="J45" s="19"/>
      <c r="K45" s="38"/>
      <c r="L45" s="19"/>
      <c r="M45" s="38"/>
      <c r="N45" s="19"/>
      <c r="O45" s="38"/>
      <c r="P45" s="39" t="str">
        <f t="shared" si="18"/>
        <v/>
      </c>
      <c r="Q45" s="19"/>
      <c r="R45" s="38"/>
      <c r="S45" s="19"/>
      <c r="T45" s="38"/>
      <c r="U45" s="19"/>
      <c r="V45" s="38"/>
      <c r="W45" s="39" t="str">
        <f t="shared" si="2"/>
        <v/>
      </c>
      <c r="X45" s="19"/>
      <c r="Y45" s="38"/>
      <c r="Z45" s="19"/>
      <c r="AA45" s="38"/>
      <c r="AB45" s="19"/>
      <c r="AC45" s="38"/>
      <c r="AD45" s="39" t="str">
        <f t="shared" si="3"/>
        <v/>
      </c>
      <c r="AE45" s="40" t="str">
        <f t="shared" si="4"/>
        <v/>
      </c>
      <c r="AF45" s="48" t="str">
        <f t="shared" si="19"/>
        <v/>
      </c>
      <c r="AG45" s="52">
        <f>IF(OR(H45="",H45=0),0, ROUND(100/(VLOOKUP($G45,'IPF GL Formula'!$A$4:$F$11,3,FALSE)-VLOOKUP($G45,'IPF GL Formula'!$A$4:$F$11,4,FALSE)*EXP(-VLOOKUP($G45,'IPF GL Formula'!$A$4:$F$11,5,FALSE)*H45)),6))</f>
        <v>0</v>
      </c>
      <c r="AH45" s="9"/>
      <c r="AI45" s="57" t="b">
        <f t="shared" si="5"/>
        <v>0</v>
      </c>
      <c r="AJ45" s="57" t="b">
        <f t="shared" si="6"/>
        <v>0</v>
      </c>
      <c r="AK45" s="57" t="b">
        <f t="shared" si="7"/>
        <v>0</v>
      </c>
      <c r="AL45" s="57" t="b">
        <f t="shared" si="8"/>
        <v>0</v>
      </c>
      <c r="AM45" s="57" t="b">
        <f t="shared" si="9"/>
        <v>0</v>
      </c>
      <c r="AN45" s="57" t="b">
        <f t="shared" si="10"/>
        <v>0</v>
      </c>
      <c r="AO45" s="57" t="b">
        <f t="shared" si="11"/>
        <v>0</v>
      </c>
      <c r="AP45" s="57" t="b">
        <f t="shared" si="12"/>
        <v>0</v>
      </c>
      <c r="AQ45" s="57" t="b">
        <f t="shared" si="13"/>
        <v>0</v>
      </c>
      <c r="AR45" s="53" t="b">
        <f t="shared" si="14"/>
        <v>0</v>
      </c>
      <c r="AS45" s="53" t="b">
        <f t="shared" si="15"/>
        <v>0</v>
      </c>
      <c r="AT45" s="53" t="b">
        <f t="shared" si="16"/>
        <v>0</v>
      </c>
      <c r="AU45" s="53" t="b">
        <f t="shared" si="17"/>
        <v>0</v>
      </c>
      <c r="AV45" s="54"/>
      <c r="AW45" s="9"/>
      <c r="AX45" s="9"/>
      <c r="AY45" s="9"/>
    </row>
    <row r="46" spans="1:51" x14ac:dyDescent="0.25">
      <c r="A46" s="15"/>
      <c r="B46" s="15"/>
      <c r="C46" s="16"/>
      <c r="D46" s="16"/>
      <c r="E46" s="16"/>
      <c r="F46" s="17"/>
      <c r="G46" s="18"/>
      <c r="H46" s="18"/>
      <c r="I46" s="37" t="str">
        <f ca="1">IF(H46="","",VLOOKUP(H46,WeightClasses!$A$2:$E$18,IF(LEFT(G46,1)="F",IF(YEAR(TODAY())-F46&lt;24,4,2),IF(YEAR(TODAY())-F46&lt;24,5,3)),TRUE))</f>
        <v/>
      </c>
      <c r="J46" s="19"/>
      <c r="K46" s="38"/>
      <c r="L46" s="19"/>
      <c r="M46" s="38"/>
      <c r="N46" s="19"/>
      <c r="O46" s="38"/>
      <c r="P46" s="39" t="str">
        <f t="shared" si="18"/>
        <v/>
      </c>
      <c r="Q46" s="19"/>
      <c r="R46" s="38"/>
      <c r="S46" s="19"/>
      <c r="T46" s="38"/>
      <c r="U46" s="19"/>
      <c r="V46" s="38"/>
      <c r="W46" s="39" t="str">
        <f t="shared" si="2"/>
        <v/>
      </c>
      <c r="X46" s="19"/>
      <c r="Y46" s="38"/>
      <c r="Z46" s="19"/>
      <c r="AA46" s="38"/>
      <c r="AB46" s="19"/>
      <c r="AC46" s="38"/>
      <c r="AD46" s="39" t="str">
        <f t="shared" si="3"/>
        <v/>
      </c>
      <c r="AE46" s="40" t="str">
        <f t="shared" si="4"/>
        <v/>
      </c>
      <c r="AF46" s="48" t="str">
        <f t="shared" si="19"/>
        <v/>
      </c>
      <c r="AG46" s="52">
        <f>IF(OR(H46="",H46=0),0, ROUND(100/(VLOOKUP($G46,'IPF GL Formula'!$A$4:$F$11,3,FALSE)-VLOOKUP($G46,'IPF GL Formula'!$A$4:$F$11,4,FALSE)*EXP(-VLOOKUP($G46,'IPF GL Formula'!$A$4:$F$11,5,FALSE)*H46)),6))</f>
        <v>0</v>
      </c>
      <c r="AH46" s="9"/>
      <c r="AI46" s="57" t="b">
        <f t="shared" si="5"/>
        <v>0</v>
      </c>
      <c r="AJ46" s="57" t="b">
        <f t="shared" si="6"/>
        <v>0</v>
      </c>
      <c r="AK46" s="57" t="b">
        <f t="shared" si="7"/>
        <v>0</v>
      </c>
      <c r="AL46" s="57" t="b">
        <f t="shared" si="8"/>
        <v>0</v>
      </c>
      <c r="AM46" s="57" t="b">
        <f t="shared" si="9"/>
        <v>0</v>
      </c>
      <c r="AN46" s="57" t="b">
        <f t="shared" si="10"/>
        <v>0</v>
      </c>
      <c r="AO46" s="57" t="b">
        <f t="shared" si="11"/>
        <v>0</v>
      </c>
      <c r="AP46" s="57" t="b">
        <f t="shared" si="12"/>
        <v>0</v>
      </c>
      <c r="AQ46" s="57" t="b">
        <f t="shared" si="13"/>
        <v>0</v>
      </c>
      <c r="AR46" s="53" t="b">
        <f t="shared" si="14"/>
        <v>0</v>
      </c>
      <c r="AS46" s="53" t="b">
        <f t="shared" si="15"/>
        <v>0</v>
      </c>
      <c r="AT46" s="53" t="b">
        <f t="shared" si="16"/>
        <v>0</v>
      </c>
      <c r="AU46" s="53" t="b">
        <f t="shared" si="17"/>
        <v>0</v>
      </c>
      <c r="AV46" s="54"/>
      <c r="AW46" s="9"/>
      <c r="AX46" s="9"/>
      <c r="AY46" s="9"/>
    </row>
    <row r="47" spans="1:51" x14ac:dyDescent="0.25">
      <c r="A47" s="15"/>
      <c r="B47" s="15"/>
      <c r="C47" s="16"/>
      <c r="D47" s="16"/>
      <c r="E47" s="16"/>
      <c r="F47" s="17"/>
      <c r="G47" s="18"/>
      <c r="H47" s="18"/>
      <c r="I47" s="37" t="str">
        <f ca="1">IF(H47="","",VLOOKUP(H47,WeightClasses!$A$2:$E$18,IF(LEFT(G47,1)="F",IF(YEAR(TODAY())-F47&lt;24,4,2),IF(YEAR(TODAY())-F47&lt;24,5,3)),TRUE))</f>
        <v/>
      </c>
      <c r="J47" s="19"/>
      <c r="K47" s="38"/>
      <c r="L47" s="19"/>
      <c r="M47" s="38"/>
      <c r="N47" s="19"/>
      <c r="O47" s="38"/>
      <c r="P47" s="39" t="str">
        <f t="shared" si="18"/>
        <v/>
      </c>
      <c r="Q47" s="19"/>
      <c r="R47" s="38"/>
      <c r="S47" s="19"/>
      <c r="T47" s="38"/>
      <c r="U47" s="19"/>
      <c r="V47" s="38"/>
      <c r="W47" s="39" t="str">
        <f t="shared" si="2"/>
        <v/>
      </c>
      <c r="X47" s="19"/>
      <c r="Y47" s="38"/>
      <c r="Z47" s="19"/>
      <c r="AA47" s="38"/>
      <c r="AB47" s="19"/>
      <c r="AC47" s="38"/>
      <c r="AD47" s="39" t="str">
        <f t="shared" si="3"/>
        <v/>
      </c>
      <c r="AE47" s="40" t="str">
        <f t="shared" si="4"/>
        <v/>
      </c>
      <c r="AF47" s="48" t="str">
        <f t="shared" si="19"/>
        <v/>
      </c>
      <c r="AG47" s="52">
        <f>IF(OR(H47="",H47=0),0, ROUND(100/(VLOOKUP($G47,'IPF GL Formula'!$A$4:$F$11,3,FALSE)-VLOOKUP($G47,'IPF GL Formula'!$A$4:$F$11,4,FALSE)*EXP(-VLOOKUP($G47,'IPF GL Formula'!$A$4:$F$11,5,FALSE)*H47)),6))</f>
        <v>0</v>
      </c>
      <c r="AH47" s="9"/>
      <c r="AI47" s="57" t="b">
        <f t="shared" si="5"/>
        <v>0</v>
      </c>
      <c r="AJ47" s="57" t="b">
        <f t="shared" si="6"/>
        <v>0</v>
      </c>
      <c r="AK47" s="57" t="b">
        <f t="shared" si="7"/>
        <v>0</v>
      </c>
      <c r="AL47" s="57" t="b">
        <f t="shared" si="8"/>
        <v>0</v>
      </c>
      <c r="AM47" s="57" t="b">
        <f t="shared" si="9"/>
        <v>0</v>
      </c>
      <c r="AN47" s="57" t="b">
        <f t="shared" si="10"/>
        <v>0</v>
      </c>
      <c r="AO47" s="57" t="b">
        <f t="shared" si="11"/>
        <v>0</v>
      </c>
      <c r="AP47" s="57" t="b">
        <f t="shared" si="12"/>
        <v>0</v>
      </c>
      <c r="AQ47" s="57" t="b">
        <f t="shared" si="13"/>
        <v>0</v>
      </c>
      <c r="AR47" s="53" t="b">
        <f t="shared" si="14"/>
        <v>0</v>
      </c>
      <c r="AS47" s="53" t="b">
        <f t="shared" si="15"/>
        <v>0</v>
      </c>
      <c r="AT47" s="53" t="b">
        <f t="shared" si="16"/>
        <v>0</v>
      </c>
      <c r="AU47" s="53" t="b">
        <f t="shared" si="17"/>
        <v>0</v>
      </c>
      <c r="AV47" s="54"/>
      <c r="AW47" s="9"/>
      <c r="AX47" s="9"/>
      <c r="AY47" s="9"/>
    </row>
    <row r="48" spans="1:51" x14ac:dyDescent="0.25">
      <c r="A48" s="15"/>
      <c r="B48" s="15"/>
      <c r="C48" s="16"/>
      <c r="D48" s="16"/>
      <c r="E48" s="16"/>
      <c r="F48" s="17"/>
      <c r="G48" s="18"/>
      <c r="H48" s="18"/>
      <c r="I48" s="37" t="str">
        <f ca="1">IF(H48="","",VLOOKUP(H48,WeightClasses!$A$2:$E$18,IF(LEFT(G48,1)="F",IF(YEAR(TODAY())-F48&lt;24,4,2),IF(YEAR(TODAY())-F48&lt;24,5,3)),TRUE))</f>
        <v/>
      </c>
      <c r="J48" s="19"/>
      <c r="K48" s="38"/>
      <c r="L48" s="19"/>
      <c r="M48" s="38"/>
      <c r="N48" s="19"/>
      <c r="O48" s="38"/>
      <c r="P48" s="39" t="str">
        <f t="shared" si="18"/>
        <v/>
      </c>
      <c r="Q48" s="19"/>
      <c r="R48" s="38"/>
      <c r="S48" s="19"/>
      <c r="T48" s="38"/>
      <c r="U48" s="19"/>
      <c r="V48" s="38"/>
      <c r="W48" s="39" t="str">
        <f t="shared" si="2"/>
        <v/>
      </c>
      <c r="X48" s="19"/>
      <c r="Y48" s="38"/>
      <c r="Z48" s="19"/>
      <c r="AA48" s="38"/>
      <c r="AB48" s="19"/>
      <c r="AC48" s="38"/>
      <c r="AD48" s="39" t="str">
        <f t="shared" si="3"/>
        <v/>
      </c>
      <c r="AE48" s="40" t="str">
        <f t="shared" si="4"/>
        <v/>
      </c>
      <c r="AF48" s="48" t="str">
        <f t="shared" si="19"/>
        <v/>
      </c>
      <c r="AG48" s="52">
        <f>IF(OR(H48="",H48=0),0, ROUND(100/(VLOOKUP($G48,'IPF GL Formula'!$A$4:$F$11,3,FALSE)-VLOOKUP($G48,'IPF GL Formula'!$A$4:$F$11,4,FALSE)*EXP(-VLOOKUP($G48,'IPF GL Formula'!$A$4:$F$11,5,FALSE)*H48)),6))</f>
        <v>0</v>
      </c>
      <c r="AH48" s="9"/>
      <c r="AI48" s="57" t="b">
        <f t="shared" si="5"/>
        <v>0</v>
      </c>
      <c r="AJ48" s="57" t="b">
        <f t="shared" si="6"/>
        <v>0</v>
      </c>
      <c r="AK48" s="57" t="b">
        <f t="shared" si="7"/>
        <v>0</v>
      </c>
      <c r="AL48" s="57" t="b">
        <f t="shared" si="8"/>
        <v>0</v>
      </c>
      <c r="AM48" s="57" t="b">
        <f t="shared" si="9"/>
        <v>0</v>
      </c>
      <c r="AN48" s="57" t="b">
        <f t="shared" si="10"/>
        <v>0</v>
      </c>
      <c r="AO48" s="57" t="b">
        <f t="shared" si="11"/>
        <v>0</v>
      </c>
      <c r="AP48" s="57" t="b">
        <f t="shared" si="12"/>
        <v>0</v>
      </c>
      <c r="AQ48" s="57" t="b">
        <f t="shared" si="13"/>
        <v>0</v>
      </c>
      <c r="AR48" s="53" t="b">
        <f t="shared" si="14"/>
        <v>0</v>
      </c>
      <c r="AS48" s="53" t="b">
        <f t="shared" si="15"/>
        <v>0</v>
      </c>
      <c r="AT48" s="53" t="b">
        <f t="shared" si="16"/>
        <v>0</v>
      </c>
      <c r="AU48" s="53" t="b">
        <f t="shared" si="17"/>
        <v>0</v>
      </c>
      <c r="AV48" s="54"/>
      <c r="AW48" s="9"/>
      <c r="AX48" s="9"/>
      <c r="AY48" s="9"/>
    </row>
    <row r="49" spans="1:51" x14ac:dyDescent="0.25">
      <c r="A49" s="15"/>
      <c r="B49" s="15"/>
      <c r="C49" s="16"/>
      <c r="D49" s="16"/>
      <c r="E49" s="16"/>
      <c r="F49" s="17"/>
      <c r="G49" s="18"/>
      <c r="H49" s="18"/>
      <c r="I49" s="37" t="str">
        <f ca="1">IF(H49="","",VLOOKUP(H49,WeightClasses!$A$2:$E$18,IF(LEFT(G49,1)="F",IF(YEAR(TODAY())-F49&lt;24,4,2),IF(YEAR(TODAY())-F49&lt;24,5,3)),TRUE))</f>
        <v/>
      </c>
      <c r="J49" s="19"/>
      <c r="K49" s="38"/>
      <c r="L49" s="19"/>
      <c r="M49" s="38"/>
      <c r="N49" s="19"/>
      <c r="O49" s="38"/>
      <c r="P49" s="39" t="str">
        <f t="shared" si="18"/>
        <v/>
      </c>
      <c r="Q49" s="19"/>
      <c r="R49" s="38"/>
      <c r="S49" s="19"/>
      <c r="T49" s="38"/>
      <c r="U49" s="19"/>
      <c r="V49" s="38"/>
      <c r="W49" s="39" t="str">
        <f t="shared" si="2"/>
        <v/>
      </c>
      <c r="X49" s="19"/>
      <c r="Y49" s="38"/>
      <c r="Z49" s="19"/>
      <c r="AA49" s="38"/>
      <c r="AB49" s="19"/>
      <c r="AC49" s="38"/>
      <c r="AD49" s="39" t="str">
        <f t="shared" si="3"/>
        <v/>
      </c>
      <c r="AE49" s="40" t="str">
        <f t="shared" si="4"/>
        <v/>
      </c>
      <c r="AF49" s="48" t="str">
        <f t="shared" si="19"/>
        <v/>
      </c>
      <c r="AG49" s="52">
        <f>IF(OR(H49="",H49=0),0, ROUND(100/(VLOOKUP($G49,'IPF GL Formula'!$A$4:$F$11,3,FALSE)-VLOOKUP($G49,'IPF GL Formula'!$A$4:$F$11,4,FALSE)*EXP(-VLOOKUP($G49,'IPF GL Formula'!$A$4:$F$11,5,FALSE)*H49)),6))</f>
        <v>0</v>
      </c>
      <c r="AH49" s="9"/>
      <c r="AI49" s="57" t="b">
        <f t="shared" si="5"/>
        <v>0</v>
      </c>
      <c r="AJ49" s="57" t="b">
        <f t="shared" si="6"/>
        <v>0</v>
      </c>
      <c r="AK49" s="57" t="b">
        <f t="shared" si="7"/>
        <v>0</v>
      </c>
      <c r="AL49" s="57" t="b">
        <f t="shared" si="8"/>
        <v>0</v>
      </c>
      <c r="AM49" s="57" t="b">
        <f t="shared" si="9"/>
        <v>0</v>
      </c>
      <c r="AN49" s="57" t="b">
        <f t="shared" si="10"/>
        <v>0</v>
      </c>
      <c r="AO49" s="57" t="b">
        <f t="shared" si="11"/>
        <v>0</v>
      </c>
      <c r="AP49" s="57" t="b">
        <f t="shared" si="12"/>
        <v>0</v>
      </c>
      <c r="AQ49" s="57" t="b">
        <f t="shared" si="13"/>
        <v>0</v>
      </c>
      <c r="AR49" s="53" t="b">
        <f t="shared" si="14"/>
        <v>0</v>
      </c>
      <c r="AS49" s="53" t="b">
        <f t="shared" si="15"/>
        <v>0</v>
      </c>
      <c r="AT49" s="53" t="b">
        <f t="shared" si="16"/>
        <v>0</v>
      </c>
      <c r="AU49" s="53" t="b">
        <f t="shared" si="17"/>
        <v>0</v>
      </c>
      <c r="AV49" s="54"/>
      <c r="AW49" s="9"/>
      <c r="AX49" s="9"/>
      <c r="AY49" s="9"/>
    </row>
    <row r="50" spans="1:51" x14ac:dyDescent="0.25">
      <c r="A50" s="15"/>
      <c r="B50" s="15"/>
      <c r="C50" s="16"/>
      <c r="D50" s="16"/>
      <c r="E50" s="16"/>
      <c r="F50" s="17"/>
      <c r="G50" s="18"/>
      <c r="H50" s="18"/>
      <c r="I50" s="37" t="str">
        <f ca="1">IF(H50="","",VLOOKUP(H50,WeightClasses!$A$2:$E$18,IF(LEFT(G50,1)="F",IF(YEAR(TODAY())-F50&lt;24,4,2),IF(YEAR(TODAY())-F50&lt;24,5,3)),TRUE))</f>
        <v/>
      </c>
      <c r="J50" s="19"/>
      <c r="K50" s="38"/>
      <c r="L50" s="19"/>
      <c r="M50" s="38"/>
      <c r="N50" s="19"/>
      <c r="O50" s="38"/>
      <c r="P50" s="39" t="str">
        <f t="shared" si="18"/>
        <v/>
      </c>
      <c r="Q50" s="19"/>
      <c r="R50" s="38"/>
      <c r="S50" s="19"/>
      <c r="T50" s="38"/>
      <c r="U50" s="19"/>
      <c r="V50" s="38"/>
      <c r="W50" s="39" t="str">
        <f t="shared" si="2"/>
        <v/>
      </c>
      <c r="X50" s="19"/>
      <c r="Y50" s="38"/>
      <c r="Z50" s="19"/>
      <c r="AA50" s="38"/>
      <c r="AB50" s="19"/>
      <c r="AC50" s="38"/>
      <c r="AD50" s="39" t="str">
        <f t="shared" si="3"/>
        <v/>
      </c>
      <c r="AE50" s="40" t="str">
        <f t="shared" si="4"/>
        <v/>
      </c>
      <c r="AF50" s="48" t="str">
        <f t="shared" si="19"/>
        <v/>
      </c>
      <c r="AG50" s="52">
        <f>IF(OR(H50="",H50=0),0, ROUND(100/(VLOOKUP($G50,'IPF GL Formula'!$A$4:$F$11,3,FALSE)-VLOOKUP($G50,'IPF GL Formula'!$A$4:$F$11,4,FALSE)*EXP(-VLOOKUP($G50,'IPF GL Formula'!$A$4:$F$11,5,FALSE)*H50)),6))</f>
        <v>0</v>
      </c>
      <c r="AH50" s="9"/>
      <c r="AI50" s="57" t="b">
        <f t="shared" si="5"/>
        <v>0</v>
      </c>
      <c r="AJ50" s="57" t="b">
        <f t="shared" si="6"/>
        <v>0</v>
      </c>
      <c r="AK50" s="57" t="b">
        <f t="shared" si="7"/>
        <v>0</v>
      </c>
      <c r="AL50" s="57" t="b">
        <f t="shared" si="8"/>
        <v>0</v>
      </c>
      <c r="AM50" s="57" t="b">
        <f t="shared" si="9"/>
        <v>0</v>
      </c>
      <c r="AN50" s="57" t="b">
        <f t="shared" si="10"/>
        <v>0</v>
      </c>
      <c r="AO50" s="57" t="b">
        <f t="shared" si="11"/>
        <v>0</v>
      </c>
      <c r="AP50" s="57" t="b">
        <f t="shared" si="12"/>
        <v>0</v>
      </c>
      <c r="AQ50" s="57" t="b">
        <f t="shared" si="13"/>
        <v>0</v>
      </c>
      <c r="AR50" s="53" t="b">
        <f t="shared" si="14"/>
        <v>0</v>
      </c>
      <c r="AS50" s="53" t="b">
        <f t="shared" si="15"/>
        <v>0</v>
      </c>
      <c r="AT50" s="53" t="b">
        <f t="shared" si="16"/>
        <v>0</v>
      </c>
      <c r="AU50" s="53" t="b">
        <f t="shared" si="17"/>
        <v>0</v>
      </c>
      <c r="AV50" s="54"/>
      <c r="AW50" s="9"/>
      <c r="AX50" s="9"/>
      <c r="AY50" s="9"/>
    </row>
    <row r="51" spans="1:51" x14ac:dyDescent="0.25">
      <c r="A51" s="15"/>
      <c r="B51" s="15"/>
      <c r="C51" s="16"/>
      <c r="D51" s="16"/>
      <c r="E51" s="16"/>
      <c r="F51" s="17"/>
      <c r="G51" s="18"/>
      <c r="H51" s="18"/>
      <c r="I51" s="37" t="str">
        <f ca="1">IF(H51="","",VLOOKUP(H51,WeightClasses!$A$2:$E$18,IF(LEFT(G51,1)="F",IF(YEAR(TODAY())-F51&lt;24,4,2),IF(YEAR(TODAY())-F51&lt;24,5,3)),TRUE))</f>
        <v/>
      </c>
      <c r="J51" s="19"/>
      <c r="K51" s="38"/>
      <c r="L51" s="19"/>
      <c r="M51" s="38"/>
      <c r="N51" s="19"/>
      <c r="O51" s="38"/>
      <c r="P51" s="39" t="str">
        <f t="shared" si="18"/>
        <v/>
      </c>
      <c r="Q51" s="19"/>
      <c r="R51" s="38"/>
      <c r="S51" s="19"/>
      <c r="T51" s="38"/>
      <c r="U51" s="19"/>
      <c r="V51" s="38"/>
      <c r="W51" s="39" t="str">
        <f t="shared" si="2"/>
        <v/>
      </c>
      <c r="X51" s="19"/>
      <c r="Y51" s="38"/>
      <c r="Z51" s="19"/>
      <c r="AA51" s="38"/>
      <c r="AB51" s="19"/>
      <c r="AC51" s="38"/>
      <c r="AD51" s="39" t="str">
        <f t="shared" si="3"/>
        <v/>
      </c>
      <c r="AE51" s="40" t="str">
        <f t="shared" si="4"/>
        <v/>
      </c>
      <c r="AF51" s="48" t="str">
        <f t="shared" si="19"/>
        <v/>
      </c>
      <c r="AG51" s="52">
        <f>IF(OR(H51="",H51=0),0, ROUND(100/(VLOOKUP($G51,'IPF GL Formula'!$A$4:$F$11,3,FALSE)-VLOOKUP($G51,'IPF GL Formula'!$A$4:$F$11,4,FALSE)*EXP(-VLOOKUP($G51,'IPF GL Formula'!$A$4:$F$11,5,FALSE)*H51)),6))</f>
        <v>0</v>
      </c>
      <c r="AH51" s="9"/>
      <c r="AI51" s="57" t="b">
        <f t="shared" si="5"/>
        <v>0</v>
      </c>
      <c r="AJ51" s="57" t="b">
        <f t="shared" si="6"/>
        <v>0</v>
      </c>
      <c r="AK51" s="57" t="b">
        <f t="shared" si="7"/>
        <v>0</v>
      </c>
      <c r="AL51" s="57" t="b">
        <f t="shared" si="8"/>
        <v>0</v>
      </c>
      <c r="AM51" s="57" t="b">
        <f t="shared" si="9"/>
        <v>0</v>
      </c>
      <c r="AN51" s="57" t="b">
        <f t="shared" si="10"/>
        <v>0</v>
      </c>
      <c r="AO51" s="57" t="b">
        <f t="shared" si="11"/>
        <v>0</v>
      </c>
      <c r="AP51" s="57" t="b">
        <f t="shared" si="12"/>
        <v>0</v>
      </c>
      <c r="AQ51" s="57" t="b">
        <f t="shared" si="13"/>
        <v>0</v>
      </c>
      <c r="AR51" s="53" t="b">
        <f t="shared" si="14"/>
        <v>0</v>
      </c>
      <c r="AS51" s="53" t="b">
        <f t="shared" si="15"/>
        <v>0</v>
      </c>
      <c r="AT51" s="53" t="b">
        <f t="shared" si="16"/>
        <v>0</v>
      </c>
      <c r="AU51" s="53" t="b">
        <f t="shared" si="17"/>
        <v>0</v>
      </c>
      <c r="AV51" s="54"/>
      <c r="AW51" s="9"/>
      <c r="AX51" s="9"/>
      <c r="AY51" s="9"/>
    </row>
    <row r="52" spans="1:51" x14ac:dyDescent="0.25">
      <c r="A52" s="15"/>
      <c r="B52" s="15"/>
      <c r="C52" s="16"/>
      <c r="D52" s="16"/>
      <c r="E52" s="16"/>
      <c r="F52" s="17"/>
      <c r="G52" s="18"/>
      <c r="H52" s="18"/>
      <c r="I52" s="37" t="str">
        <f ca="1">IF(H52="","",VLOOKUP(H52,WeightClasses!$A$2:$E$18,IF(LEFT(G52,1)="F",IF(YEAR(TODAY())-F52&lt;24,4,2),IF(YEAR(TODAY())-F52&lt;24,5,3)),TRUE))</f>
        <v/>
      </c>
      <c r="J52" s="19"/>
      <c r="K52" s="38"/>
      <c r="L52" s="19"/>
      <c r="M52" s="38"/>
      <c r="N52" s="19"/>
      <c r="O52" s="38"/>
      <c r="P52" s="39" t="str">
        <f t="shared" si="18"/>
        <v/>
      </c>
      <c r="Q52" s="19"/>
      <c r="R52" s="38"/>
      <c r="S52" s="19"/>
      <c r="T52" s="38"/>
      <c r="U52" s="19"/>
      <c r="V52" s="38"/>
      <c r="W52" s="39" t="str">
        <f t="shared" si="2"/>
        <v/>
      </c>
      <c r="X52" s="19"/>
      <c r="Y52" s="38"/>
      <c r="Z52" s="19"/>
      <c r="AA52" s="38"/>
      <c r="AB52" s="19"/>
      <c r="AC52" s="38"/>
      <c r="AD52" s="39" t="str">
        <f t="shared" si="3"/>
        <v/>
      </c>
      <c r="AE52" s="40" t="str">
        <f t="shared" si="4"/>
        <v/>
      </c>
      <c r="AF52" s="48" t="str">
        <f t="shared" si="19"/>
        <v/>
      </c>
      <c r="AG52" s="52">
        <f>IF(OR(H52="",H52=0),0, ROUND(100/(VLOOKUP($G52,'IPF GL Formula'!$A$4:$F$11,3,FALSE)-VLOOKUP($G52,'IPF GL Formula'!$A$4:$F$11,4,FALSE)*EXP(-VLOOKUP($G52,'IPF GL Formula'!$A$4:$F$11,5,FALSE)*H52)),6))</f>
        <v>0</v>
      </c>
      <c r="AH52" s="9"/>
      <c r="AI52" s="57" t="b">
        <f t="shared" si="5"/>
        <v>0</v>
      </c>
      <c r="AJ52" s="57" t="b">
        <f t="shared" si="6"/>
        <v>0</v>
      </c>
      <c r="AK52" s="57" t="b">
        <f t="shared" si="7"/>
        <v>0</v>
      </c>
      <c r="AL52" s="57" t="b">
        <f t="shared" si="8"/>
        <v>0</v>
      </c>
      <c r="AM52" s="57" t="b">
        <f t="shared" si="9"/>
        <v>0</v>
      </c>
      <c r="AN52" s="57" t="b">
        <f t="shared" si="10"/>
        <v>0</v>
      </c>
      <c r="AO52" s="57" t="b">
        <f t="shared" si="11"/>
        <v>0</v>
      </c>
      <c r="AP52" s="57" t="b">
        <f t="shared" si="12"/>
        <v>0</v>
      </c>
      <c r="AQ52" s="57" t="b">
        <f t="shared" si="13"/>
        <v>0</v>
      </c>
      <c r="AR52" s="53" t="b">
        <f t="shared" si="14"/>
        <v>0</v>
      </c>
      <c r="AS52" s="53" t="b">
        <f t="shared" si="15"/>
        <v>0</v>
      </c>
      <c r="AT52" s="53" t="b">
        <f t="shared" si="16"/>
        <v>0</v>
      </c>
      <c r="AU52" s="53" t="b">
        <f t="shared" si="17"/>
        <v>0</v>
      </c>
      <c r="AV52" s="54"/>
      <c r="AW52" s="9"/>
      <c r="AX52" s="9"/>
      <c r="AY52" s="9"/>
    </row>
    <row r="53" spans="1:51" x14ac:dyDescent="0.25">
      <c r="A53" s="15"/>
      <c r="B53" s="15"/>
      <c r="C53" s="16"/>
      <c r="D53" s="16"/>
      <c r="E53" s="16"/>
      <c r="F53" s="17"/>
      <c r="G53" s="18"/>
      <c r="H53" s="18"/>
      <c r="I53" s="37" t="str">
        <f ca="1">IF(H53="","",VLOOKUP(H53,WeightClasses!$A$2:$E$18,IF(LEFT(G53,1)="F",IF(YEAR(TODAY())-F53&lt;24,4,2),IF(YEAR(TODAY())-F53&lt;24,5,3)),TRUE))</f>
        <v/>
      </c>
      <c r="J53" s="19"/>
      <c r="K53" s="38"/>
      <c r="L53" s="19"/>
      <c r="M53" s="38"/>
      <c r="N53" s="19"/>
      <c r="O53" s="38"/>
      <c r="P53" s="39" t="str">
        <f t="shared" si="18"/>
        <v/>
      </c>
      <c r="Q53" s="19"/>
      <c r="R53" s="38"/>
      <c r="S53" s="19"/>
      <c r="T53" s="38"/>
      <c r="U53" s="19"/>
      <c r="V53" s="38"/>
      <c r="W53" s="39" t="str">
        <f t="shared" si="2"/>
        <v/>
      </c>
      <c r="X53" s="19"/>
      <c r="Y53" s="38"/>
      <c r="Z53" s="19"/>
      <c r="AA53" s="38"/>
      <c r="AB53" s="19"/>
      <c r="AC53" s="38"/>
      <c r="AD53" s="39" t="str">
        <f t="shared" si="3"/>
        <v/>
      </c>
      <c r="AE53" s="40" t="str">
        <f t="shared" si="4"/>
        <v/>
      </c>
      <c r="AF53" s="48" t="str">
        <f t="shared" si="19"/>
        <v/>
      </c>
      <c r="AG53" s="52">
        <f>IF(OR(H53="",H53=0),0, ROUND(100/(VLOOKUP($G53,'IPF GL Formula'!$A$4:$F$11,3,FALSE)-VLOOKUP($G53,'IPF GL Formula'!$A$4:$F$11,4,FALSE)*EXP(-VLOOKUP($G53,'IPF GL Formula'!$A$4:$F$11,5,FALSE)*H53)),6))</f>
        <v>0</v>
      </c>
      <c r="AH53" s="9"/>
      <c r="AI53" s="57" t="b">
        <f t="shared" si="5"/>
        <v>0</v>
      </c>
      <c r="AJ53" s="57" t="b">
        <f t="shared" si="6"/>
        <v>0</v>
      </c>
      <c r="AK53" s="57" t="b">
        <f t="shared" si="7"/>
        <v>0</v>
      </c>
      <c r="AL53" s="57" t="b">
        <f t="shared" si="8"/>
        <v>0</v>
      </c>
      <c r="AM53" s="57" t="b">
        <f t="shared" si="9"/>
        <v>0</v>
      </c>
      <c r="AN53" s="57" t="b">
        <f t="shared" si="10"/>
        <v>0</v>
      </c>
      <c r="AO53" s="57" t="b">
        <f t="shared" si="11"/>
        <v>0</v>
      </c>
      <c r="AP53" s="57" t="b">
        <f t="shared" si="12"/>
        <v>0</v>
      </c>
      <c r="AQ53" s="57" t="b">
        <f t="shared" si="13"/>
        <v>0</v>
      </c>
      <c r="AR53" s="53" t="b">
        <f t="shared" si="14"/>
        <v>0</v>
      </c>
      <c r="AS53" s="53" t="b">
        <f t="shared" si="15"/>
        <v>0</v>
      </c>
      <c r="AT53" s="53" t="b">
        <f t="shared" si="16"/>
        <v>0</v>
      </c>
      <c r="AU53" s="53" t="b">
        <f t="shared" si="17"/>
        <v>0</v>
      </c>
      <c r="AV53" s="54"/>
      <c r="AW53" s="9"/>
      <c r="AX53" s="9"/>
      <c r="AY53" s="9"/>
    </row>
    <row r="54" spans="1:51" x14ac:dyDescent="0.25">
      <c r="A54" s="15"/>
      <c r="B54" s="15"/>
      <c r="C54" s="16"/>
      <c r="D54" s="16"/>
      <c r="E54" s="16"/>
      <c r="F54" s="17"/>
      <c r="G54" s="18"/>
      <c r="H54" s="18"/>
      <c r="I54" s="37" t="str">
        <f ca="1">IF(H54="","",VLOOKUP(H54,WeightClasses!$A$2:$E$18,IF(LEFT(G54,1)="F",IF(YEAR(TODAY())-F54&lt;24,4,2),IF(YEAR(TODAY())-F54&lt;24,5,3)),TRUE))</f>
        <v/>
      </c>
      <c r="J54" s="19"/>
      <c r="K54" s="38"/>
      <c r="L54" s="19"/>
      <c r="M54" s="38"/>
      <c r="N54" s="19"/>
      <c r="O54" s="38"/>
      <c r="P54" s="39" t="str">
        <f t="shared" si="18"/>
        <v/>
      </c>
      <c r="Q54" s="19"/>
      <c r="R54" s="38"/>
      <c r="S54" s="19"/>
      <c r="T54" s="38"/>
      <c r="U54" s="19"/>
      <c r="V54" s="38"/>
      <c r="W54" s="39" t="str">
        <f t="shared" si="2"/>
        <v/>
      </c>
      <c r="X54" s="19"/>
      <c r="Y54" s="38"/>
      <c r="Z54" s="19"/>
      <c r="AA54" s="38"/>
      <c r="AB54" s="19"/>
      <c r="AC54" s="38"/>
      <c r="AD54" s="39" t="str">
        <f t="shared" si="3"/>
        <v/>
      </c>
      <c r="AE54" s="40" t="str">
        <f t="shared" si="4"/>
        <v/>
      </c>
      <c r="AF54" s="48" t="str">
        <f t="shared" si="19"/>
        <v/>
      </c>
      <c r="AG54" s="52">
        <f>IF(OR(H54="",H54=0),0, ROUND(100/(VLOOKUP($G54,'IPF GL Formula'!$A$4:$F$11,3,FALSE)-VLOOKUP($G54,'IPF GL Formula'!$A$4:$F$11,4,FALSE)*EXP(-VLOOKUP($G54,'IPF GL Formula'!$A$4:$F$11,5,FALSE)*H54)),6))</f>
        <v>0</v>
      </c>
      <c r="AH54" s="9"/>
      <c r="AI54" s="57" t="b">
        <f t="shared" si="5"/>
        <v>0</v>
      </c>
      <c r="AJ54" s="57" t="b">
        <f t="shared" si="6"/>
        <v>0</v>
      </c>
      <c r="AK54" s="57" t="b">
        <f t="shared" si="7"/>
        <v>0</v>
      </c>
      <c r="AL54" s="57" t="b">
        <f t="shared" si="8"/>
        <v>0</v>
      </c>
      <c r="AM54" s="57" t="b">
        <f t="shared" si="9"/>
        <v>0</v>
      </c>
      <c r="AN54" s="57" t="b">
        <f t="shared" si="10"/>
        <v>0</v>
      </c>
      <c r="AO54" s="57" t="b">
        <f t="shared" si="11"/>
        <v>0</v>
      </c>
      <c r="AP54" s="57" t="b">
        <f t="shared" si="12"/>
        <v>0</v>
      </c>
      <c r="AQ54" s="57" t="b">
        <f t="shared" si="13"/>
        <v>0</v>
      </c>
      <c r="AR54" s="53" t="b">
        <f t="shared" si="14"/>
        <v>0</v>
      </c>
      <c r="AS54" s="53" t="b">
        <f t="shared" si="15"/>
        <v>0</v>
      </c>
      <c r="AT54" s="53" t="b">
        <f t="shared" si="16"/>
        <v>0</v>
      </c>
      <c r="AU54" s="53" t="b">
        <f t="shared" si="17"/>
        <v>0</v>
      </c>
      <c r="AV54" s="54"/>
      <c r="AW54" s="9"/>
      <c r="AX54" s="9"/>
      <c r="AY54" s="9"/>
    </row>
    <row r="55" spans="1:51" x14ac:dyDescent="0.25">
      <c r="A55" s="15"/>
      <c r="B55" s="15"/>
      <c r="C55" s="16"/>
      <c r="D55" s="16"/>
      <c r="E55" s="16"/>
      <c r="F55" s="17"/>
      <c r="G55" s="18"/>
      <c r="H55" s="18"/>
      <c r="I55" s="37" t="str">
        <f ca="1">IF(H55="","",VLOOKUP(H55,WeightClasses!$A$2:$E$18,IF(LEFT(G55,1)="F",IF(YEAR(TODAY())-F55&lt;24,4,2),IF(YEAR(TODAY())-F55&lt;24,5,3)),TRUE))</f>
        <v/>
      </c>
      <c r="J55" s="19"/>
      <c r="K55" s="38"/>
      <c r="L55" s="19"/>
      <c r="M55" s="38"/>
      <c r="N55" s="19"/>
      <c r="O55" s="38"/>
      <c r="P55" s="39" t="str">
        <f t="shared" si="18"/>
        <v/>
      </c>
      <c r="Q55" s="19"/>
      <c r="R55" s="38"/>
      <c r="S55" s="19"/>
      <c r="T55" s="38"/>
      <c r="U55" s="19"/>
      <c r="V55" s="38"/>
      <c r="W55" s="39" t="str">
        <f t="shared" si="2"/>
        <v/>
      </c>
      <c r="X55" s="19"/>
      <c r="Y55" s="38"/>
      <c r="Z55" s="19"/>
      <c r="AA55" s="38"/>
      <c r="AB55" s="19"/>
      <c r="AC55" s="38"/>
      <c r="AD55" s="39" t="str">
        <f t="shared" si="3"/>
        <v/>
      </c>
      <c r="AE55" s="40" t="str">
        <f t="shared" si="4"/>
        <v/>
      </c>
      <c r="AF55" s="48" t="str">
        <f t="shared" si="19"/>
        <v/>
      </c>
      <c r="AG55" s="52">
        <f>IF(OR(H55="",H55=0),0, ROUND(100/(VLOOKUP($G55,'IPF GL Formula'!$A$4:$F$11,3,FALSE)-VLOOKUP($G55,'IPF GL Formula'!$A$4:$F$11,4,FALSE)*EXP(-VLOOKUP($G55,'IPF GL Formula'!$A$4:$F$11,5,FALSE)*H55)),6))</f>
        <v>0</v>
      </c>
      <c r="AH55" s="9"/>
      <c r="AI55" s="57" t="b">
        <f t="shared" si="5"/>
        <v>0</v>
      </c>
      <c r="AJ55" s="57" t="b">
        <f t="shared" si="6"/>
        <v>0</v>
      </c>
      <c r="AK55" s="57" t="b">
        <f t="shared" si="7"/>
        <v>0</v>
      </c>
      <c r="AL55" s="57" t="b">
        <f t="shared" si="8"/>
        <v>0</v>
      </c>
      <c r="AM55" s="57" t="b">
        <f t="shared" si="9"/>
        <v>0</v>
      </c>
      <c r="AN55" s="57" t="b">
        <f t="shared" si="10"/>
        <v>0</v>
      </c>
      <c r="AO55" s="57" t="b">
        <f t="shared" si="11"/>
        <v>0</v>
      </c>
      <c r="AP55" s="57" t="b">
        <f t="shared" si="12"/>
        <v>0</v>
      </c>
      <c r="AQ55" s="57" t="b">
        <f t="shared" si="13"/>
        <v>0</v>
      </c>
      <c r="AR55" s="53" t="b">
        <f t="shared" si="14"/>
        <v>0</v>
      </c>
      <c r="AS55" s="53" t="b">
        <f t="shared" si="15"/>
        <v>0</v>
      </c>
      <c r="AT55" s="53" t="b">
        <f t="shared" si="16"/>
        <v>0</v>
      </c>
      <c r="AU55" s="53" t="b">
        <f t="shared" si="17"/>
        <v>0</v>
      </c>
      <c r="AV55" s="54"/>
      <c r="AW55" s="9"/>
      <c r="AX55" s="9"/>
      <c r="AY55" s="9"/>
    </row>
    <row r="56" spans="1:51" x14ac:dyDescent="0.25">
      <c r="A56" s="15"/>
      <c r="B56" s="15"/>
      <c r="C56" s="16"/>
      <c r="D56" s="16"/>
      <c r="E56" s="16"/>
      <c r="F56" s="17"/>
      <c r="G56" s="18"/>
      <c r="H56" s="18"/>
      <c r="I56" s="37" t="str">
        <f ca="1">IF(H56="","",VLOOKUP(H56,WeightClasses!$A$2:$E$18,IF(LEFT(G56,1)="F",IF(YEAR(TODAY())-F56&lt;24,4,2),IF(YEAR(TODAY())-F56&lt;24,5,3)),TRUE))</f>
        <v/>
      </c>
      <c r="J56" s="19"/>
      <c r="K56" s="38"/>
      <c r="L56" s="19"/>
      <c r="M56" s="38"/>
      <c r="N56" s="19"/>
      <c r="O56" s="38"/>
      <c r="P56" s="39" t="str">
        <f t="shared" si="18"/>
        <v/>
      </c>
      <c r="Q56" s="19"/>
      <c r="R56" s="38"/>
      <c r="S56" s="19"/>
      <c r="T56" s="38"/>
      <c r="U56" s="19"/>
      <c r="V56" s="38"/>
      <c r="W56" s="39" t="str">
        <f t="shared" si="2"/>
        <v/>
      </c>
      <c r="X56" s="19"/>
      <c r="Y56" s="38"/>
      <c r="Z56" s="19"/>
      <c r="AA56" s="38"/>
      <c r="AB56" s="19"/>
      <c r="AC56" s="38"/>
      <c r="AD56" s="39" t="str">
        <f t="shared" si="3"/>
        <v/>
      </c>
      <c r="AE56" s="40" t="str">
        <f t="shared" si="4"/>
        <v/>
      </c>
      <c r="AF56" s="48" t="str">
        <f t="shared" si="19"/>
        <v/>
      </c>
      <c r="AG56" s="52">
        <f>IF(OR(H56="",H56=0),0, ROUND(100/(VLOOKUP($G56,'IPF GL Formula'!$A$4:$F$11,3,FALSE)-VLOOKUP($G56,'IPF GL Formula'!$A$4:$F$11,4,FALSE)*EXP(-VLOOKUP($G56,'IPF GL Formula'!$A$4:$F$11,5,FALSE)*H56)),6))</f>
        <v>0</v>
      </c>
      <c r="AH56" s="9"/>
      <c r="AI56" s="57" t="b">
        <f t="shared" si="5"/>
        <v>0</v>
      </c>
      <c r="AJ56" s="57" t="b">
        <f t="shared" si="6"/>
        <v>0</v>
      </c>
      <c r="AK56" s="57" t="b">
        <f t="shared" si="7"/>
        <v>0</v>
      </c>
      <c r="AL56" s="57" t="b">
        <f t="shared" si="8"/>
        <v>0</v>
      </c>
      <c r="AM56" s="57" t="b">
        <f t="shared" si="9"/>
        <v>0</v>
      </c>
      <c r="AN56" s="57" t="b">
        <f t="shared" si="10"/>
        <v>0</v>
      </c>
      <c r="AO56" s="57" t="b">
        <f t="shared" si="11"/>
        <v>0</v>
      </c>
      <c r="AP56" s="57" t="b">
        <f t="shared" si="12"/>
        <v>0</v>
      </c>
      <c r="AQ56" s="57" t="b">
        <f t="shared" si="13"/>
        <v>0</v>
      </c>
      <c r="AR56" s="53" t="b">
        <f t="shared" si="14"/>
        <v>0</v>
      </c>
      <c r="AS56" s="53" t="b">
        <f t="shared" si="15"/>
        <v>0</v>
      </c>
      <c r="AT56" s="53" t="b">
        <f t="shared" si="16"/>
        <v>0</v>
      </c>
      <c r="AU56" s="53" t="b">
        <f t="shared" si="17"/>
        <v>0</v>
      </c>
      <c r="AV56" s="54"/>
      <c r="AW56" s="9"/>
      <c r="AX56" s="9"/>
      <c r="AY56" s="9"/>
    </row>
    <row r="57" spans="1:51" x14ac:dyDescent="0.25">
      <c r="A57" s="15"/>
      <c r="B57" s="15"/>
      <c r="C57" s="16"/>
      <c r="D57" s="16"/>
      <c r="E57" s="16"/>
      <c r="F57" s="17"/>
      <c r="G57" s="18"/>
      <c r="H57" s="18"/>
      <c r="I57" s="37" t="str">
        <f ca="1">IF(H57="","",VLOOKUP(H57,WeightClasses!$A$2:$E$18,IF(LEFT(G57,1)="F",IF(YEAR(TODAY())-F57&lt;24,4,2),IF(YEAR(TODAY())-F57&lt;24,5,3)),TRUE))</f>
        <v/>
      </c>
      <c r="J57" s="19"/>
      <c r="K57" s="38"/>
      <c r="L57" s="19"/>
      <c r="M57" s="38"/>
      <c r="N57" s="19"/>
      <c r="O57" s="38"/>
      <c r="P57" s="39" t="str">
        <f t="shared" si="18"/>
        <v/>
      </c>
      <c r="Q57" s="19"/>
      <c r="R57" s="38"/>
      <c r="S57" s="19"/>
      <c r="T57" s="38"/>
      <c r="U57" s="19"/>
      <c r="V57" s="38"/>
      <c r="W57" s="39" t="str">
        <f t="shared" si="2"/>
        <v/>
      </c>
      <c r="X57" s="19"/>
      <c r="Y57" s="38"/>
      <c r="Z57" s="19"/>
      <c r="AA57" s="38"/>
      <c r="AB57" s="19"/>
      <c r="AC57" s="38"/>
      <c r="AD57" s="39" t="str">
        <f t="shared" si="3"/>
        <v/>
      </c>
      <c r="AE57" s="40" t="str">
        <f t="shared" si="4"/>
        <v/>
      </c>
      <c r="AF57" s="48" t="str">
        <f t="shared" si="19"/>
        <v/>
      </c>
      <c r="AG57" s="52">
        <f>IF(OR(H57="",H57=0),0, ROUND(100/(VLOOKUP($G57,'IPF GL Formula'!$A$4:$F$11,3,FALSE)-VLOOKUP($G57,'IPF GL Formula'!$A$4:$F$11,4,FALSE)*EXP(-VLOOKUP($G57,'IPF GL Formula'!$A$4:$F$11,5,FALSE)*H57)),6))</f>
        <v>0</v>
      </c>
      <c r="AH57" s="9"/>
      <c r="AI57" s="57" t="b">
        <f t="shared" si="5"/>
        <v>0</v>
      </c>
      <c r="AJ57" s="57" t="b">
        <f t="shared" si="6"/>
        <v>0</v>
      </c>
      <c r="AK57" s="57" t="b">
        <f t="shared" si="7"/>
        <v>0</v>
      </c>
      <c r="AL57" s="57" t="b">
        <f t="shared" si="8"/>
        <v>0</v>
      </c>
      <c r="AM57" s="57" t="b">
        <f t="shared" si="9"/>
        <v>0</v>
      </c>
      <c r="AN57" s="57" t="b">
        <f t="shared" si="10"/>
        <v>0</v>
      </c>
      <c r="AO57" s="57" t="b">
        <f t="shared" si="11"/>
        <v>0</v>
      </c>
      <c r="AP57" s="57" t="b">
        <f t="shared" si="12"/>
        <v>0</v>
      </c>
      <c r="AQ57" s="57" t="b">
        <f t="shared" si="13"/>
        <v>0</v>
      </c>
      <c r="AR57" s="53" t="b">
        <f t="shared" si="14"/>
        <v>0</v>
      </c>
      <c r="AS57" s="53" t="b">
        <f t="shared" si="15"/>
        <v>0</v>
      </c>
      <c r="AT57" s="53" t="b">
        <f t="shared" si="16"/>
        <v>0</v>
      </c>
      <c r="AU57" s="53" t="b">
        <f t="shared" si="17"/>
        <v>0</v>
      </c>
      <c r="AV57" s="54"/>
      <c r="AW57" s="9"/>
      <c r="AX57" s="9"/>
      <c r="AY57" s="9"/>
    </row>
    <row r="58" spans="1:51" x14ac:dyDescent="0.25">
      <c r="A58" s="15"/>
      <c r="B58" s="15"/>
      <c r="C58" s="16"/>
      <c r="D58" s="16"/>
      <c r="E58" s="16"/>
      <c r="F58" s="17"/>
      <c r="G58" s="18"/>
      <c r="H58" s="18"/>
      <c r="I58" s="37" t="str">
        <f ca="1">IF(H58="","",VLOOKUP(H58,WeightClasses!$A$2:$E$18,IF(LEFT(G58,1)="F",IF(YEAR(TODAY())-F58&lt;24,4,2),IF(YEAR(TODAY())-F58&lt;24,5,3)),TRUE))</f>
        <v/>
      </c>
      <c r="J58" s="19"/>
      <c r="K58" s="38"/>
      <c r="L58" s="19"/>
      <c r="M58" s="38"/>
      <c r="N58" s="19"/>
      <c r="O58" s="38"/>
      <c r="P58" s="39" t="str">
        <f t="shared" si="18"/>
        <v/>
      </c>
      <c r="Q58" s="19"/>
      <c r="R58" s="38"/>
      <c r="S58" s="19"/>
      <c r="T58" s="38"/>
      <c r="U58" s="19"/>
      <c r="V58" s="38"/>
      <c r="W58" s="39" t="str">
        <f t="shared" si="2"/>
        <v/>
      </c>
      <c r="X58" s="19"/>
      <c r="Y58" s="38"/>
      <c r="Z58" s="19"/>
      <c r="AA58" s="38"/>
      <c r="AB58" s="19"/>
      <c r="AC58" s="38"/>
      <c r="AD58" s="39" t="str">
        <f t="shared" si="3"/>
        <v/>
      </c>
      <c r="AE58" s="40" t="str">
        <f t="shared" si="4"/>
        <v/>
      </c>
      <c r="AF58" s="48" t="str">
        <f t="shared" si="19"/>
        <v/>
      </c>
      <c r="AG58" s="52">
        <f>IF(OR(H58="",H58=0),0, ROUND(100/(VLOOKUP($G58,'IPF GL Formula'!$A$4:$F$11,3,FALSE)-VLOOKUP($G58,'IPF GL Formula'!$A$4:$F$11,4,FALSE)*EXP(-VLOOKUP($G58,'IPF GL Formula'!$A$4:$F$11,5,FALSE)*H58)),6))</f>
        <v>0</v>
      </c>
      <c r="AH58" s="9"/>
      <c r="AI58" s="57" t="b">
        <f t="shared" si="5"/>
        <v>0</v>
      </c>
      <c r="AJ58" s="57" t="b">
        <f t="shared" si="6"/>
        <v>0</v>
      </c>
      <c r="AK58" s="57" t="b">
        <f t="shared" si="7"/>
        <v>0</v>
      </c>
      <c r="AL58" s="57" t="b">
        <f t="shared" si="8"/>
        <v>0</v>
      </c>
      <c r="AM58" s="57" t="b">
        <f t="shared" si="9"/>
        <v>0</v>
      </c>
      <c r="AN58" s="57" t="b">
        <f t="shared" si="10"/>
        <v>0</v>
      </c>
      <c r="AO58" s="57" t="b">
        <f t="shared" si="11"/>
        <v>0</v>
      </c>
      <c r="AP58" s="57" t="b">
        <f t="shared" si="12"/>
        <v>0</v>
      </c>
      <c r="AQ58" s="57" t="b">
        <f t="shared" si="13"/>
        <v>0</v>
      </c>
      <c r="AR58" s="53" t="b">
        <f t="shared" si="14"/>
        <v>0</v>
      </c>
      <c r="AS58" s="53" t="b">
        <f t="shared" si="15"/>
        <v>0</v>
      </c>
      <c r="AT58" s="53" t="b">
        <f t="shared" si="16"/>
        <v>0</v>
      </c>
      <c r="AU58" s="53" t="b">
        <f t="shared" si="17"/>
        <v>0</v>
      </c>
      <c r="AV58" s="54"/>
      <c r="AW58" s="9"/>
      <c r="AX58" s="9"/>
      <c r="AY58" s="9"/>
    </row>
    <row r="59" spans="1:51" x14ac:dyDescent="0.25">
      <c r="A59" s="15"/>
      <c r="B59" s="15"/>
      <c r="C59" s="16"/>
      <c r="D59" s="16"/>
      <c r="E59" s="16"/>
      <c r="F59" s="17"/>
      <c r="G59" s="18"/>
      <c r="H59" s="18"/>
      <c r="I59" s="37" t="str">
        <f ca="1">IF(H59="","",VLOOKUP(H59,WeightClasses!$A$2:$E$18,IF(LEFT(G59,1)="F",IF(YEAR(TODAY())-F59&lt;24,4,2),IF(YEAR(TODAY())-F59&lt;24,5,3)),TRUE))</f>
        <v/>
      </c>
      <c r="J59" s="19"/>
      <c r="K59" s="38"/>
      <c r="L59" s="19"/>
      <c r="M59" s="38"/>
      <c r="N59" s="19"/>
      <c r="O59" s="38"/>
      <c r="P59" s="39" t="str">
        <f t="shared" si="18"/>
        <v/>
      </c>
      <c r="Q59" s="19"/>
      <c r="R59" s="38"/>
      <c r="S59" s="19"/>
      <c r="T59" s="38"/>
      <c r="U59" s="19"/>
      <c r="V59" s="38"/>
      <c r="W59" s="39" t="str">
        <f t="shared" si="2"/>
        <v/>
      </c>
      <c r="X59" s="19"/>
      <c r="Y59" s="38"/>
      <c r="Z59" s="19"/>
      <c r="AA59" s="38"/>
      <c r="AB59" s="19"/>
      <c r="AC59" s="38"/>
      <c r="AD59" s="39" t="str">
        <f t="shared" si="3"/>
        <v/>
      </c>
      <c r="AE59" s="40" t="str">
        <f t="shared" si="4"/>
        <v/>
      </c>
      <c r="AF59" s="48" t="str">
        <f t="shared" si="19"/>
        <v/>
      </c>
      <c r="AG59" s="52">
        <f>IF(OR(H59="",H59=0),0, ROUND(100/(VLOOKUP($G59,'IPF GL Formula'!$A$4:$F$11,3,FALSE)-VLOOKUP($G59,'IPF GL Formula'!$A$4:$F$11,4,FALSE)*EXP(-VLOOKUP($G59,'IPF GL Formula'!$A$4:$F$11,5,FALSE)*H59)),6))</f>
        <v>0</v>
      </c>
      <c r="AH59" s="9"/>
      <c r="AI59" s="57" t="b">
        <f t="shared" si="5"/>
        <v>0</v>
      </c>
      <c r="AJ59" s="57" t="b">
        <f t="shared" si="6"/>
        <v>0</v>
      </c>
      <c r="AK59" s="57" t="b">
        <f t="shared" si="7"/>
        <v>0</v>
      </c>
      <c r="AL59" s="57" t="b">
        <f t="shared" si="8"/>
        <v>0</v>
      </c>
      <c r="AM59" s="57" t="b">
        <f t="shared" si="9"/>
        <v>0</v>
      </c>
      <c r="AN59" s="57" t="b">
        <f t="shared" si="10"/>
        <v>0</v>
      </c>
      <c r="AO59" s="57" t="b">
        <f t="shared" si="11"/>
        <v>0</v>
      </c>
      <c r="AP59" s="57" t="b">
        <f t="shared" si="12"/>
        <v>0</v>
      </c>
      <c r="AQ59" s="57" t="b">
        <f t="shared" si="13"/>
        <v>0</v>
      </c>
      <c r="AR59" s="53" t="b">
        <f t="shared" si="14"/>
        <v>0</v>
      </c>
      <c r="AS59" s="53" t="b">
        <f t="shared" si="15"/>
        <v>0</v>
      </c>
      <c r="AT59" s="53" t="b">
        <f t="shared" si="16"/>
        <v>0</v>
      </c>
      <c r="AU59" s="53" t="b">
        <f t="shared" si="17"/>
        <v>0</v>
      </c>
      <c r="AV59" s="54"/>
      <c r="AW59" s="9"/>
      <c r="AX59" s="9"/>
      <c r="AY59" s="9"/>
    </row>
    <row r="60" spans="1:51" x14ac:dyDescent="0.25">
      <c r="A60" s="15"/>
      <c r="B60" s="15"/>
      <c r="C60" s="16"/>
      <c r="D60" s="16"/>
      <c r="E60" s="16"/>
      <c r="F60" s="17"/>
      <c r="G60" s="18"/>
      <c r="H60" s="18"/>
      <c r="I60" s="37" t="str">
        <f ca="1">IF(H60="","",VLOOKUP(H60,WeightClasses!$A$2:$E$18,IF(LEFT(G60,1)="F",IF(YEAR(TODAY())-F60&lt;24,4,2),IF(YEAR(TODAY())-F60&lt;24,5,3)),TRUE))</f>
        <v/>
      </c>
      <c r="J60" s="19"/>
      <c r="K60" s="38"/>
      <c r="L60" s="19"/>
      <c r="M60" s="38"/>
      <c r="N60" s="19"/>
      <c r="O60" s="38"/>
      <c r="P60" s="39" t="str">
        <f t="shared" si="18"/>
        <v/>
      </c>
      <c r="Q60" s="19"/>
      <c r="R60" s="38"/>
      <c r="S60" s="19"/>
      <c r="T60" s="38"/>
      <c r="U60" s="19"/>
      <c r="V60" s="38"/>
      <c r="W60" s="39" t="str">
        <f t="shared" si="2"/>
        <v/>
      </c>
      <c r="X60" s="19"/>
      <c r="Y60" s="38"/>
      <c r="Z60" s="19"/>
      <c r="AA60" s="38"/>
      <c r="AB60" s="19"/>
      <c r="AC60" s="38"/>
      <c r="AD60" s="39" t="str">
        <f t="shared" si="3"/>
        <v/>
      </c>
      <c r="AE60" s="40" t="str">
        <f t="shared" si="4"/>
        <v/>
      </c>
      <c r="AF60" s="48" t="str">
        <f t="shared" si="19"/>
        <v/>
      </c>
      <c r="AG60" s="52">
        <f>IF(OR(H60="",H60=0),0, ROUND(100/(VLOOKUP($G60,'IPF GL Formula'!$A$4:$F$11,3,FALSE)-VLOOKUP($G60,'IPF GL Formula'!$A$4:$F$11,4,FALSE)*EXP(-VLOOKUP($G60,'IPF GL Formula'!$A$4:$F$11,5,FALSE)*H60)),6))</f>
        <v>0</v>
      </c>
      <c r="AH60" s="9"/>
      <c r="AI60" s="57" t="b">
        <f t="shared" si="5"/>
        <v>0</v>
      </c>
      <c r="AJ60" s="57" t="b">
        <f t="shared" si="6"/>
        <v>0</v>
      </c>
      <c r="AK60" s="57" t="b">
        <f t="shared" si="7"/>
        <v>0</v>
      </c>
      <c r="AL60" s="57" t="b">
        <f t="shared" si="8"/>
        <v>0</v>
      </c>
      <c r="AM60" s="57" t="b">
        <f t="shared" si="9"/>
        <v>0</v>
      </c>
      <c r="AN60" s="57" t="b">
        <f t="shared" si="10"/>
        <v>0</v>
      </c>
      <c r="AO60" s="57" t="b">
        <f t="shared" si="11"/>
        <v>0</v>
      </c>
      <c r="AP60" s="57" t="b">
        <f t="shared" si="12"/>
        <v>0</v>
      </c>
      <c r="AQ60" s="57" t="b">
        <f t="shared" si="13"/>
        <v>0</v>
      </c>
      <c r="AR60" s="53" t="b">
        <f t="shared" si="14"/>
        <v>0</v>
      </c>
      <c r="AS60" s="53" t="b">
        <f t="shared" si="15"/>
        <v>0</v>
      </c>
      <c r="AT60" s="53" t="b">
        <f t="shared" si="16"/>
        <v>0</v>
      </c>
      <c r="AU60" s="53" t="b">
        <f t="shared" si="17"/>
        <v>0</v>
      </c>
      <c r="AV60" s="54"/>
      <c r="AW60" s="9"/>
      <c r="AX60" s="9"/>
      <c r="AY60" s="9"/>
    </row>
    <row r="61" spans="1:51" x14ac:dyDescent="0.25">
      <c r="A61" s="15"/>
      <c r="B61" s="15"/>
      <c r="C61" s="16"/>
      <c r="D61" s="16"/>
      <c r="E61" s="16"/>
      <c r="F61" s="17"/>
      <c r="G61" s="18"/>
      <c r="H61" s="18"/>
      <c r="I61" s="37" t="str">
        <f ca="1">IF(H61="","",VLOOKUP(H61,WeightClasses!$A$2:$E$18,IF(LEFT(G61,1)="F",IF(YEAR(TODAY())-F61&lt;24,4,2),IF(YEAR(TODAY())-F61&lt;24,5,3)),TRUE))</f>
        <v/>
      </c>
      <c r="J61" s="19"/>
      <c r="K61" s="38"/>
      <c r="L61" s="19"/>
      <c r="M61" s="38"/>
      <c r="N61" s="19"/>
      <c r="O61" s="38"/>
      <c r="P61" s="39" t="str">
        <f t="shared" si="18"/>
        <v/>
      </c>
      <c r="Q61" s="19"/>
      <c r="R61" s="38"/>
      <c r="S61" s="19"/>
      <c r="T61" s="38"/>
      <c r="U61" s="19"/>
      <c r="V61" s="38"/>
      <c r="W61" s="39" t="str">
        <f t="shared" si="2"/>
        <v/>
      </c>
      <c r="X61" s="19"/>
      <c r="Y61" s="38"/>
      <c r="Z61" s="19"/>
      <c r="AA61" s="38"/>
      <c r="AB61" s="19"/>
      <c r="AC61" s="38"/>
      <c r="AD61" s="39" t="str">
        <f t="shared" si="3"/>
        <v/>
      </c>
      <c r="AE61" s="40" t="str">
        <f t="shared" si="4"/>
        <v/>
      </c>
      <c r="AF61" s="48" t="str">
        <f t="shared" si="19"/>
        <v/>
      </c>
      <c r="AG61" s="52">
        <f>IF(OR(H61="",H61=0),0, ROUND(100/(VLOOKUP($G61,'IPF GL Formula'!$A$4:$F$11,3,FALSE)-VLOOKUP($G61,'IPF GL Formula'!$A$4:$F$11,4,FALSE)*EXP(-VLOOKUP($G61,'IPF GL Formula'!$A$4:$F$11,5,FALSE)*H61)),6))</f>
        <v>0</v>
      </c>
      <c r="AH61" s="9"/>
      <c r="AI61" s="57" t="b">
        <f t="shared" si="5"/>
        <v>0</v>
      </c>
      <c r="AJ61" s="57" t="b">
        <f t="shared" si="6"/>
        <v>0</v>
      </c>
      <c r="AK61" s="57" t="b">
        <f t="shared" si="7"/>
        <v>0</v>
      </c>
      <c r="AL61" s="57" t="b">
        <f t="shared" si="8"/>
        <v>0</v>
      </c>
      <c r="AM61" s="57" t="b">
        <f t="shared" si="9"/>
        <v>0</v>
      </c>
      <c r="AN61" s="57" t="b">
        <f t="shared" si="10"/>
        <v>0</v>
      </c>
      <c r="AO61" s="57" t="b">
        <f t="shared" si="11"/>
        <v>0</v>
      </c>
      <c r="AP61" s="57" t="b">
        <f t="shared" si="12"/>
        <v>0</v>
      </c>
      <c r="AQ61" s="57" t="b">
        <f t="shared" si="13"/>
        <v>0</v>
      </c>
      <c r="AR61" s="53" t="b">
        <f t="shared" si="14"/>
        <v>0</v>
      </c>
      <c r="AS61" s="53" t="b">
        <f t="shared" si="15"/>
        <v>0</v>
      </c>
      <c r="AT61" s="53" t="b">
        <f t="shared" si="16"/>
        <v>0</v>
      </c>
      <c r="AU61" s="53" t="b">
        <f t="shared" si="17"/>
        <v>0</v>
      </c>
      <c r="AV61" s="54"/>
      <c r="AW61" s="9"/>
      <c r="AX61" s="9"/>
      <c r="AY61" s="9"/>
    </row>
    <row r="62" spans="1:51" x14ac:dyDescent="0.25">
      <c r="A62" s="15"/>
      <c r="B62" s="15"/>
      <c r="C62" s="16"/>
      <c r="D62" s="16"/>
      <c r="E62" s="16"/>
      <c r="F62" s="17"/>
      <c r="G62" s="18"/>
      <c r="H62" s="18"/>
      <c r="I62" s="37" t="str">
        <f ca="1">IF(H62="","",VLOOKUP(H62,WeightClasses!$A$2:$E$18,IF(LEFT(G62,1)="F",IF(YEAR(TODAY())-F62&lt;24,4,2),IF(YEAR(TODAY())-F62&lt;24,5,3)),TRUE))</f>
        <v/>
      </c>
      <c r="J62" s="19"/>
      <c r="K62" s="38"/>
      <c r="L62" s="19"/>
      <c r="M62" s="38"/>
      <c r="N62" s="19"/>
      <c r="O62" s="38"/>
      <c r="P62" s="39" t="str">
        <f t="shared" si="18"/>
        <v/>
      </c>
      <c r="Q62" s="19"/>
      <c r="R62" s="38"/>
      <c r="S62" s="19"/>
      <c r="T62" s="38"/>
      <c r="U62" s="19"/>
      <c r="V62" s="38"/>
      <c r="W62" s="39" t="str">
        <f t="shared" si="2"/>
        <v/>
      </c>
      <c r="X62" s="19"/>
      <c r="Y62" s="38"/>
      <c r="Z62" s="19"/>
      <c r="AA62" s="38"/>
      <c r="AB62" s="19"/>
      <c r="AC62" s="38"/>
      <c r="AD62" s="39" t="str">
        <f t="shared" si="3"/>
        <v/>
      </c>
      <c r="AE62" s="40" t="str">
        <f t="shared" si="4"/>
        <v/>
      </c>
      <c r="AF62" s="48" t="str">
        <f t="shared" si="19"/>
        <v/>
      </c>
      <c r="AG62" s="52">
        <f>IF(OR(H62="",H62=0),0, ROUND(100/(VLOOKUP($G62,'IPF GL Formula'!$A$4:$F$11,3,FALSE)-VLOOKUP($G62,'IPF GL Formula'!$A$4:$F$11,4,FALSE)*EXP(-VLOOKUP($G62,'IPF GL Formula'!$A$4:$F$11,5,FALSE)*H62)),6))</f>
        <v>0</v>
      </c>
      <c r="AH62" s="9"/>
      <c r="AI62" s="57" t="b">
        <f t="shared" si="5"/>
        <v>0</v>
      </c>
      <c r="AJ62" s="57" t="b">
        <f t="shared" si="6"/>
        <v>0</v>
      </c>
      <c r="AK62" s="57" t="b">
        <f t="shared" si="7"/>
        <v>0</v>
      </c>
      <c r="AL62" s="57" t="b">
        <f t="shared" si="8"/>
        <v>0</v>
      </c>
      <c r="AM62" s="57" t="b">
        <f t="shared" si="9"/>
        <v>0</v>
      </c>
      <c r="AN62" s="57" t="b">
        <f t="shared" si="10"/>
        <v>0</v>
      </c>
      <c r="AO62" s="57" t="b">
        <f t="shared" si="11"/>
        <v>0</v>
      </c>
      <c r="AP62" s="57" t="b">
        <f t="shared" si="12"/>
        <v>0</v>
      </c>
      <c r="AQ62" s="57" t="b">
        <f t="shared" si="13"/>
        <v>0</v>
      </c>
      <c r="AR62" s="53" t="b">
        <f t="shared" si="14"/>
        <v>0</v>
      </c>
      <c r="AS62" s="53" t="b">
        <f t="shared" si="15"/>
        <v>0</v>
      </c>
      <c r="AT62" s="53" t="b">
        <f t="shared" si="16"/>
        <v>0</v>
      </c>
      <c r="AU62" s="53" t="b">
        <f t="shared" si="17"/>
        <v>0</v>
      </c>
      <c r="AV62" s="54"/>
      <c r="AW62" s="9"/>
      <c r="AX62" s="9"/>
      <c r="AY62" s="9"/>
    </row>
    <row r="63" spans="1:51" x14ac:dyDescent="0.25">
      <c r="A63" s="15"/>
      <c r="B63" s="15"/>
      <c r="C63" s="16"/>
      <c r="D63" s="16"/>
      <c r="E63" s="16"/>
      <c r="F63" s="17"/>
      <c r="G63" s="18"/>
      <c r="H63" s="18"/>
      <c r="I63" s="37" t="str">
        <f ca="1">IF(H63="","",VLOOKUP(H63,WeightClasses!$A$2:$E$18,IF(LEFT(G63,1)="F",IF(YEAR(TODAY())-F63&lt;24,4,2),IF(YEAR(TODAY())-F63&lt;24,5,3)),TRUE))</f>
        <v/>
      </c>
      <c r="J63" s="19"/>
      <c r="K63" s="38"/>
      <c r="L63" s="19"/>
      <c r="M63" s="38"/>
      <c r="N63" s="19"/>
      <c r="O63" s="38"/>
      <c r="P63" s="39" t="str">
        <f t="shared" si="18"/>
        <v/>
      </c>
      <c r="Q63" s="19"/>
      <c r="R63" s="38"/>
      <c r="S63" s="19"/>
      <c r="T63" s="38"/>
      <c r="U63" s="19"/>
      <c r="V63" s="38"/>
      <c r="W63" s="39" t="str">
        <f t="shared" si="2"/>
        <v/>
      </c>
      <c r="X63" s="19"/>
      <c r="Y63" s="38"/>
      <c r="Z63" s="19"/>
      <c r="AA63" s="38"/>
      <c r="AB63" s="19"/>
      <c r="AC63" s="38"/>
      <c r="AD63" s="39" t="str">
        <f t="shared" si="3"/>
        <v/>
      </c>
      <c r="AE63" s="40" t="str">
        <f t="shared" si="4"/>
        <v/>
      </c>
      <c r="AF63" s="48" t="str">
        <f t="shared" si="19"/>
        <v/>
      </c>
      <c r="AG63" s="52">
        <f>IF(OR(H63="",H63=0),0, ROUND(100/(VLOOKUP($G63,'IPF GL Formula'!$A$4:$F$11,3,FALSE)-VLOOKUP($G63,'IPF GL Formula'!$A$4:$F$11,4,FALSE)*EXP(-VLOOKUP($G63,'IPF GL Formula'!$A$4:$F$11,5,FALSE)*H63)),6))</f>
        <v>0</v>
      </c>
      <c r="AH63" s="9"/>
      <c r="AI63" s="57" t="b">
        <f t="shared" si="5"/>
        <v>0</v>
      </c>
      <c r="AJ63" s="57" t="b">
        <f t="shared" si="6"/>
        <v>0</v>
      </c>
      <c r="AK63" s="57" t="b">
        <f t="shared" si="7"/>
        <v>0</v>
      </c>
      <c r="AL63" s="57" t="b">
        <f t="shared" si="8"/>
        <v>0</v>
      </c>
      <c r="AM63" s="57" t="b">
        <f t="shared" si="9"/>
        <v>0</v>
      </c>
      <c r="AN63" s="57" t="b">
        <f t="shared" si="10"/>
        <v>0</v>
      </c>
      <c r="AO63" s="57" t="b">
        <f t="shared" si="11"/>
        <v>0</v>
      </c>
      <c r="AP63" s="57" t="b">
        <f t="shared" si="12"/>
        <v>0</v>
      </c>
      <c r="AQ63" s="57" t="b">
        <f t="shared" si="13"/>
        <v>0</v>
      </c>
      <c r="AR63" s="53" t="b">
        <f t="shared" si="14"/>
        <v>0</v>
      </c>
      <c r="AS63" s="53" t="b">
        <f t="shared" si="15"/>
        <v>0</v>
      </c>
      <c r="AT63" s="53" t="b">
        <f t="shared" si="16"/>
        <v>0</v>
      </c>
      <c r="AU63" s="53" t="b">
        <f t="shared" si="17"/>
        <v>0</v>
      </c>
      <c r="AV63" s="54"/>
      <c r="AW63" s="9"/>
      <c r="AX63" s="9"/>
      <c r="AY63" s="9"/>
    </row>
    <row r="64" spans="1:51" x14ac:dyDescent="0.25">
      <c r="A64" s="15"/>
      <c r="B64" s="15"/>
      <c r="C64" s="16"/>
      <c r="D64" s="16"/>
      <c r="E64" s="16"/>
      <c r="F64" s="17"/>
      <c r="G64" s="18"/>
      <c r="H64" s="18"/>
      <c r="I64" s="37" t="str">
        <f ca="1">IF(H64="","",VLOOKUP(H64,WeightClasses!$A$2:$E$18,IF(LEFT(G64,1)="F",IF(YEAR(TODAY())-F64&lt;24,4,2),IF(YEAR(TODAY())-F64&lt;24,5,3)),TRUE))</f>
        <v/>
      </c>
      <c r="J64" s="19"/>
      <c r="K64" s="38"/>
      <c r="L64" s="19"/>
      <c r="M64" s="38"/>
      <c r="N64" s="19"/>
      <c r="O64" s="38"/>
      <c r="P64" s="39" t="str">
        <f t="shared" si="18"/>
        <v/>
      </c>
      <c r="Q64" s="19"/>
      <c r="R64" s="38"/>
      <c r="S64" s="19"/>
      <c r="T64" s="38"/>
      <c r="U64" s="19"/>
      <c r="V64" s="38"/>
      <c r="W64" s="39" t="str">
        <f t="shared" si="2"/>
        <v/>
      </c>
      <c r="X64" s="19"/>
      <c r="Y64" s="38"/>
      <c r="Z64" s="19"/>
      <c r="AA64" s="38"/>
      <c r="AB64" s="19"/>
      <c r="AC64" s="38"/>
      <c r="AD64" s="39" t="str">
        <f t="shared" si="3"/>
        <v/>
      </c>
      <c r="AE64" s="40" t="str">
        <f t="shared" si="4"/>
        <v/>
      </c>
      <c r="AF64" s="48" t="str">
        <f t="shared" si="19"/>
        <v/>
      </c>
      <c r="AG64" s="52">
        <f>IF(OR(H64="",H64=0),0, ROUND(100/(VLOOKUP($G64,'IPF GL Formula'!$A$4:$F$11,3,FALSE)-VLOOKUP($G64,'IPF GL Formula'!$A$4:$F$11,4,FALSE)*EXP(-VLOOKUP($G64,'IPF GL Formula'!$A$4:$F$11,5,FALSE)*H64)),6))</f>
        <v>0</v>
      </c>
      <c r="AH64" s="9"/>
      <c r="AI64" s="57" t="b">
        <f t="shared" si="5"/>
        <v>0</v>
      </c>
      <c r="AJ64" s="57" t="b">
        <f t="shared" si="6"/>
        <v>0</v>
      </c>
      <c r="AK64" s="57" t="b">
        <f t="shared" si="7"/>
        <v>0</v>
      </c>
      <c r="AL64" s="57" t="b">
        <f t="shared" si="8"/>
        <v>0</v>
      </c>
      <c r="AM64" s="57" t="b">
        <f t="shared" si="9"/>
        <v>0</v>
      </c>
      <c r="AN64" s="57" t="b">
        <f t="shared" si="10"/>
        <v>0</v>
      </c>
      <c r="AO64" s="57" t="b">
        <f t="shared" si="11"/>
        <v>0</v>
      </c>
      <c r="AP64" s="57" t="b">
        <f t="shared" si="12"/>
        <v>0</v>
      </c>
      <c r="AQ64" s="57" t="b">
        <f t="shared" si="13"/>
        <v>0</v>
      </c>
      <c r="AR64" s="53" t="b">
        <f t="shared" si="14"/>
        <v>0</v>
      </c>
      <c r="AS64" s="53" t="b">
        <f t="shared" si="15"/>
        <v>0</v>
      </c>
      <c r="AT64" s="53" t="b">
        <f t="shared" si="16"/>
        <v>0</v>
      </c>
      <c r="AU64" s="53" t="b">
        <f t="shared" si="17"/>
        <v>0</v>
      </c>
      <c r="AV64" s="54"/>
      <c r="AW64" s="9"/>
      <c r="AX64" s="9"/>
      <c r="AY64" s="9"/>
    </row>
    <row r="65" spans="1:51" x14ac:dyDescent="0.25">
      <c r="A65" s="15"/>
      <c r="B65" s="15"/>
      <c r="C65" s="16"/>
      <c r="D65" s="16"/>
      <c r="E65" s="16"/>
      <c r="F65" s="17"/>
      <c r="G65" s="18"/>
      <c r="H65" s="18"/>
      <c r="I65" s="37" t="str">
        <f ca="1">IF(H65="","",VLOOKUP(H65,WeightClasses!$A$2:$E$18,IF(LEFT(G65,1)="F",IF(YEAR(TODAY())-F65&lt;24,4,2),IF(YEAR(TODAY())-F65&lt;24,5,3)),TRUE))</f>
        <v/>
      </c>
      <c r="J65" s="19"/>
      <c r="K65" s="38"/>
      <c r="L65" s="19"/>
      <c r="M65" s="38"/>
      <c r="N65" s="19"/>
      <c r="O65" s="38"/>
      <c r="P65" s="39" t="str">
        <f t="shared" si="18"/>
        <v/>
      </c>
      <c r="Q65" s="19"/>
      <c r="R65" s="38"/>
      <c r="S65" s="19"/>
      <c r="T65" s="38"/>
      <c r="U65" s="19"/>
      <c r="V65" s="38"/>
      <c r="W65" s="39" t="str">
        <f t="shared" si="2"/>
        <v/>
      </c>
      <c r="X65" s="19"/>
      <c r="Y65" s="38"/>
      <c r="Z65" s="19"/>
      <c r="AA65" s="38"/>
      <c r="AB65" s="19"/>
      <c r="AC65" s="38"/>
      <c r="AD65" s="39" t="str">
        <f t="shared" si="3"/>
        <v/>
      </c>
      <c r="AE65" s="40" t="str">
        <f t="shared" si="4"/>
        <v/>
      </c>
      <c r="AF65" s="48" t="str">
        <f t="shared" si="19"/>
        <v/>
      </c>
      <c r="AG65" s="52">
        <f>IF(OR(H65="",H65=0),0, ROUND(100/(VLOOKUP($G65,'IPF GL Formula'!$A$4:$F$11,3,FALSE)-VLOOKUP($G65,'IPF GL Formula'!$A$4:$F$11,4,FALSE)*EXP(-VLOOKUP($G65,'IPF GL Formula'!$A$4:$F$11,5,FALSE)*H65)),6))</f>
        <v>0</v>
      </c>
      <c r="AH65" s="9"/>
      <c r="AI65" s="57" t="b">
        <f t="shared" si="5"/>
        <v>0</v>
      </c>
      <c r="AJ65" s="57" t="b">
        <f t="shared" si="6"/>
        <v>0</v>
      </c>
      <c r="AK65" s="57" t="b">
        <f t="shared" si="7"/>
        <v>0</v>
      </c>
      <c r="AL65" s="57" t="b">
        <f t="shared" si="8"/>
        <v>0</v>
      </c>
      <c r="AM65" s="57" t="b">
        <f t="shared" si="9"/>
        <v>0</v>
      </c>
      <c r="AN65" s="57" t="b">
        <f t="shared" si="10"/>
        <v>0</v>
      </c>
      <c r="AO65" s="57" t="b">
        <f t="shared" si="11"/>
        <v>0</v>
      </c>
      <c r="AP65" s="57" t="b">
        <f t="shared" si="12"/>
        <v>0</v>
      </c>
      <c r="AQ65" s="57" t="b">
        <f t="shared" si="13"/>
        <v>0</v>
      </c>
      <c r="AR65" s="53" t="b">
        <f t="shared" si="14"/>
        <v>0</v>
      </c>
      <c r="AS65" s="53" t="b">
        <f t="shared" si="15"/>
        <v>0</v>
      </c>
      <c r="AT65" s="53" t="b">
        <f t="shared" si="16"/>
        <v>0</v>
      </c>
      <c r="AU65" s="53" t="b">
        <f t="shared" si="17"/>
        <v>0</v>
      </c>
      <c r="AV65" s="54"/>
      <c r="AW65" s="9"/>
      <c r="AX65" s="9"/>
      <c r="AY65" s="9"/>
    </row>
    <row r="66" spans="1:51" x14ac:dyDescent="0.25">
      <c r="A66" s="15"/>
      <c r="B66" s="15"/>
      <c r="C66" s="16"/>
      <c r="D66" s="16"/>
      <c r="E66" s="16"/>
      <c r="F66" s="17"/>
      <c r="G66" s="18"/>
      <c r="H66" s="18"/>
      <c r="I66" s="37" t="str">
        <f ca="1">IF(H66="","",VLOOKUP(H66,WeightClasses!$A$2:$E$18,IF(LEFT(G66,1)="F",IF(YEAR(TODAY())-F66&lt;24,4,2),IF(YEAR(TODAY())-F66&lt;24,5,3)),TRUE))</f>
        <v/>
      </c>
      <c r="J66" s="19"/>
      <c r="K66" s="38"/>
      <c r="L66" s="19"/>
      <c r="M66" s="38"/>
      <c r="N66" s="19"/>
      <c r="O66" s="38"/>
      <c r="P66" s="39" t="str">
        <f t="shared" si="18"/>
        <v/>
      </c>
      <c r="Q66" s="19"/>
      <c r="R66" s="38"/>
      <c r="S66" s="19"/>
      <c r="T66" s="38"/>
      <c r="U66" s="19"/>
      <c r="V66" s="38"/>
      <c r="W66" s="39" t="str">
        <f t="shared" si="2"/>
        <v/>
      </c>
      <c r="X66" s="19"/>
      <c r="Y66" s="38"/>
      <c r="Z66" s="19"/>
      <c r="AA66" s="38"/>
      <c r="AB66" s="19"/>
      <c r="AC66" s="38"/>
      <c r="AD66" s="39" t="str">
        <f t="shared" si="3"/>
        <v/>
      </c>
      <c r="AE66" s="40" t="str">
        <f t="shared" si="4"/>
        <v/>
      </c>
      <c r="AF66" s="48" t="str">
        <f t="shared" si="19"/>
        <v/>
      </c>
      <c r="AG66" s="52">
        <f>IF(OR(H66="",H66=0),0, ROUND(100/(VLOOKUP($G66,'IPF GL Formula'!$A$4:$F$11,3,FALSE)-VLOOKUP($G66,'IPF GL Formula'!$A$4:$F$11,4,FALSE)*EXP(-VLOOKUP($G66,'IPF GL Formula'!$A$4:$F$11,5,FALSE)*H66)),6))</f>
        <v>0</v>
      </c>
      <c r="AH66" s="9"/>
      <c r="AI66" s="57" t="b">
        <f t="shared" si="5"/>
        <v>0</v>
      </c>
      <c r="AJ66" s="57" t="b">
        <f t="shared" si="6"/>
        <v>0</v>
      </c>
      <c r="AK66" s="57" t="b">
        <f t="shared" si="7"/>
        <v>0</v>
      </c>
      <c r="AL66" s="57" t="b">
        <f t="shared" si="8"/>
        <v>0</v>
      </c>
      <c r="AM66" s="57" t="b">
        <f t="shared" si="9"/>
        <v>0</v>
      </c>
      <c r="AN66" s="57" t="b">
        <f t="shared" si="10"/>
        <v>0</v>
      </c>
      <c r="AO66" s="57" t="b">
        <f t="shared" si="11"/>
        <v>0</v>
      </c>
      <c r="AP66" s="57" t="b">
        <f t="shared" si="12"/>
        <v>0</v>
      </c>
      <c r="AQ66" s="57" t="b">
        <f t="shared" si="13"/>
        <v>0</v>
      </c>
      <c r="AR66" s="53" t="b">
        <f t="shared" si="14"/>
        <v>0</v>
      </c>
      <c r="AS66" s="53" t="b">
        <f t="shared" si="15"/>
        <v>0</v>
      </c>
      <c r="AT66" s="53" t="b">
        <f t="shared" si="16"/>
        <v>0</v>
      </c>
      <c r="AU66" s="53" t="b">
        <f t="shared" si="17"/>
        <v>0</v>
      </c>
      <c r="AV66" s="54"/>
      <c r="AW66" s="9"/>
      <c r="AX66" s="9"/>
      <c r="AY66" s="9"/>
    </row>
    <row r="67" spans="1:51" x14ac:dyDescent="0.25">
      <c r="A67" s="15"/>
      <c r="B67" s="15"/>
      <c r="C67" s="16"/>
      <c r="D67" s="16"/>
      <c r="E67" s="16"/>
      <c r="F67" s="17"/>
      <c r="G67" s="18"/>
      <c r="H67" s="18"/>
      <c r="I67" s="37" t="str">
        <f ca="1">IF(H67="","",VLOOKUP(H67,WeightClasses!$A$2:$E$18,IF(LEFT(G67,1)="F",IF(YEAR(TODAY())-F67&lt;24,4,2),IF(YEAR(TODAY())-F67&lt;24,5,3)),TRUE))</f>
        <v/>
      </c>
      <c r="J67" s="19"/>
      <c r="K67" s="38"/>
      <c r="L67" s="19"/>
      <c r="M67" s="38"/>
      <c r="N67" s="19"/>
      <c r="O67" s="38"/>
      <c r="P67" s="39" t="str">
        <f t="shared" si="18"/>
        <v/>
      </c>
      <c r="Q67" s="19"/>
      <c r="R67" s="38"/>
      <c r="S67" s="19"/>
      <c r="T67" s="38"/>
      <c r="U67" s="19"/>
      <c r="V67" s="38"/>
      <c r="W67" s="39" t="str">
        <f t="shared" si="2"/>
        <v/>
      </c>
      <c r="X67" s="19"/>
      <c r="Y67" s="38"/>
      <c r="Z67" s="19"/>
      <c r="AA67" s="38"/>
      <c r="AB67" s="19"/>
      <c r="AC67" s="38"/>
      <c r="AD67" s="39" t="str">
        <f t="shared" si="3"/>
        <v/>
      </c>
      <c r="AE67" s="40" t="str">
        <f t="shared" si="4"/>
        <v/>
      </c>
      <c r="AF67" s="48" t="str">
        <f t="shared" si="19"/>
        <v/>
      </c>
      <c r="AG67" s="52">
        <f>IF(OR(H67="",H67=0),0, ROUND(100/(VLOOKUP($G67,'IPF GL Formula'!$A$4:$F$11,3,FALSE)-VLOOKUP($G67,'IPF GL Formula'!$A$4:$F$11,4,FALSE)*EXP(-VLOOKUP($G67,'IPF GL Formula'!$A$4:$F$11,5,FALSE)*H67)),6))</f>
        <v>0</v>
      </c>
      <c r="AH67" s="9"/>
      <c r="AI67" s="57" t="b">
        <f t="shared" si="5"/>
        <v>0</v>
      </c>
      <c r="AJ67" s="57" t="b">
        <f t="shared" si="6"/>
        <v>0</v>
      </c>
      <c r="AK67" s="57" t="b">
        <f t="shared" si="7"/>
        <v>0</v>
      </c>
      <c r="AL67" s="57" t="b">
        <f t="shared" si="8"/>
        <v>0</v>
      </c>
      <c r="AM67" s="57" t="b">
        <f t="shared" si="9"/>
        <v>0</v>
      </c>
      <c r="AN67" s="57" t="b">
        <f t="shared" si="10"/>
        <v>0</v>
      </c>
      <c r="AO67" s="57" t="b">
        <f t="shared" si="11"/>
        <v>0</v>
      </c>
      <c r="AP67" s="57" t="b">
        <f t="shared" si="12"/>
        <v>0</v>
      </c>
      <c r="AQ67" s="57" t="b">
        <f t="shared" si="13"/>
        <v>0</v>
      </c>
      <c r="AR67" s="53" t="b">
        <f t="shared" si="14"/>
        <v>0</v>
      </c>
      <c r="AS67" s="53" t="b">
        <f t="shared" si="15"/>
        <v>0</v>
      </c>
      <c r="AT67" s="53" t="b">
        <f t="shared" si="16"/>
        <v>0</v>
      </c>
      <c r="AU67" s="53" t="b">
        <f t="shared" si="17"/>
        <v>0</v>
      </c>
      <c r="AV67" s="54"/>
      <c r="AW67" s="9"/>
      <c r="AX67" s="9"/>
      <c r="AY67" s="9"/>
    </row>
    <row r="68" spans="1:51" x14ac:dyDescent="0.25">
      <c r="A68" s="15"/>
      <c r="B68" s="15"/>
      <c r="C68" s="16"/>
      <c r="D68" s="16"/>
      <c r="E68" s="16"/>
      <c r="F68" s="17"/>
      <c r="G68" s="18"/>
      <c r="H68" s="18"/>
      <c r="I68" s="37" t="str">
        <f ca="1">IF(H68="","",VLOOKUP(H68,WeightClasses!$A$2:$E$18,IF(LEFT(G68,1)="F",IF(YEAR(TODAY())-F68&lt;24,4,2),IF(YEAR(TODAY())-F68&lt;24,5,3)),TRUE))</f>
        <v/>
      </c>
      <c r="J68" s="19"/>
      <c r="K68" s="38"/>
      <c r="L68" s="19"/>
      <c r="M68" s="38"/>
      <c r="N68" s="19"/>
      <c r="O68" s="38"/>
      <c r="P68" s="39" t="str">
        <f t="shared" si="18"/>
        <v/>
      </c>
      <c r="Q68" s="19"/>
      <c r="R68" s="38"/>
      <c r="S68" s="19"/>
      <c r="T68" s="38"/>
      <c r="U68" s="19"/>
      <c r="V68" s="38"/>
      <c r="W68" s="39" t="str">
        <f t="shared" si="2"/>
        <v/>
      </c>
      <c r="X68" s="19"/>
      <c r="Y68" s="38"/>
      <c r="Z68" s="19"/>
      <c r="AA68" s="38"/>
      <c r="AB68" s="19"/>
      <c r="AC68" s="38"/>
      <c r="AD68" s="39" t="str">
        <f t="shared" si="3"/>
        <v/>
      </c>
      <c r="AE68" s="40" t="str">
        <f t="shared" si="4"/>
        <v/>
      </c>
      <c r="AF68" s="48" t="str">
        <f t="shared" si="19"/>
        <v/>
      </c>
      <c r="AG68" s="52">
        <f>IF(OR(H68="",H68=0),0, ROUND(100/(VLOOKUP($G68,'IPF GL Formula'!$A$4:$F$11,3,FALSE)-VLOOKUP($G68,'IPF GL Formula'!$A$4:$F$11,4,FALSE)*EXP(-VLOOKUP($G68,'IPF GL Formula'!$A$4:$F$11,5,FALSE)*H68)),6))</f>
        <v>0</v>
      </c>
      <c r="AH68" s="9"/>
      <c r="AI68" s="57" t="b">
        <f t="shared" si="5"/>
        <v>0</v>
      </c>
      <c r="AJ68" s="57" t="b">
        <f t="shared" si="6"/>
        <v>0</v>
      </c>
      <c r="AK68" s="57" t="b">
        <f t="shared" si="7"/>
        <v>0</v>
      </c>
      <c r="AL68" s="57" t="b">
        <f t="shared" si="8"/>
        <v>0</v>
      </c>
      <c r="AM68" s="57" t="b">
        <f t="shared" si="9"/>
        <v>0</v>
      </c>
      <c r="AN68" s="57" t="b">
        <f t="shared" si="10"/>
        <v>0</v>
      </c>
      <c r="AO68" s="57" t="b">
        <f t="shared" si="11"/>
        <v>0</v>
      </c>
      <c r="AP68" s="57" t="b">
        <f t="shared" si="12"/>
        <v>0</v>
      </c>
      <c r="AQ68" s="57" t="b">
        <f t="shared" si="13"/>
        <v>0</v>
      </c>
      <c r="AR68" s="53" t="b">
        <f t="shared" si="14"/>
        <v>0</v>
      </c>
      <c r="AS68" s="53" t="b">
        <f t="shared" si="15"/>
        <v>0</v>
      </c>
      <c r="AT68" s="53" t="b">
        <f t="shared" si="16"/>
        <v>0</v>
      </c>
      <c r="AU68" s="53" t="b">
        <f t="shared" si="17"/>
        <v>0</v>
      </c>
      <c r="AV68" s="54"/>
      <c r="AW68" s="9"/>
      <c r="AX68" s="9"/>
      <c r="AY68" s="9"/>
    </row>
    <row r="69" spans="1:51" x14ac:dyDescent="0.25">
      <c r="A69" s="15"/>
      <c r="B69" s="15"/>
      <c r="C69" s="16"/>
      <c r="D69" s="16"/>
      <c r="E69" s="16"/>
      <c r="F69" s="17"/>
      <c r="G69" s="18"/>
      <c r="H69" s="18"/>
      <c r="I69" s="37" t="str">
        <f ca="1">IF(H69="","",VLOOKUP(H69,WeightClasses!$A$2:$E$18,IF(LEFT(G69,1)="F",IF(YEAR(TODAY())-F69&lt;24,4,2),IF(YEAR(TODAY())-F69&lt;24,5,3)),TRUE))</f>
        <v/>
      </c>
      <c r="J69" s="19"/>
      <c r="K69" s="38"/>
      <c r="L69" s="19"/>
      <c r="M69" s="38"/>
      <c r="N69" s="19"/>
      <c r="O69" s="38"/>
      <c r="P69" s="39" t="str">
        <f t="shared" si="18"/>
        <v/>
      </c>
      <c r="Q69" s="19"/>
      <c r="R69" s="38"/>
      <c r="S69" s="19"/>
      <c r="T69" s="38"/>
      <c r="U69" s="19"/>
      <c r="V69" s="38"/>
      <c r="W69" s="39" t="str">
        <f t="shared" si="2"/>
        <v/>
      </c>
      <c r="X69" s="19"/>
      <c r="Y69" s="38"/>
      <c r="Z69" s="19"/>
      <c r="AA69" s="38"/>
      <c r="AB69" s="19"/>
      <c r="AC69" s="38"/>
      <c r="AD69" s="39" t="str">
        <f t="shared" si="3"/>
        <v/>
      </c>
      <c r="AE69" s="40" t="str">
        <f t="shared" si="4"/>
        <v/>
      </c>
      <c r="AF69" s="48" t="str">
        <f t="shared" si="19"/>
        <v/>
      </c>
      <c r="AG69" s="52">
        <f>IF(OR(H69="",H69=0),0, ROUND(100/(VLOOKUP($G69,'IPF GL Formula'!$A$4:$F$11,3,FALSE)-VLOOKUP($G69,'IPF GL Formula'!$A$4:$F$11,4,FALSE)*EXP(-VLOOKUP($G69,'IPF GL Formula'!$A$4:$F$11,5,FALSE)*H69)),6))</f>
        <v>0</v>
      </c>
      <c r="AH69" s="9"/>
      <c r="AI69" s="57" t="b">
        <f t="shared" si="5"/>
        <v>0</v>
      </c>
      <c r="AJ69" s="57" t="b">
        <f t="shared" si="6"/>
        <v>0</v>
      </c>
      <c r="AK69" s="57" t="b">
        <f t="shared" si="7"/>
        <v>0</v>
      </c>
      <c r="AL69" s="57" t="b">
        <f t="shared" si="8"/>
        <v>0</v>
      </c>
      <c r="AM69" s="57" t="b">
        <f t="shared" si="9"/>
        <v>0</v>
      </c>
      <c r="AN69" s="57" t="b">
        <f t="shared" si="10"/>
        <v>0</v>
      </c>
      <c r="AO69" s="57" t="b">
        <f t="shared" si="11"/>
        <v>0</v>
      </c>
      <c r="AP69" s="57" t="b">
        <f t="shared" si="12"/>
        <v>0</v>
      </c>
      <c r="AQ69" s="57" t="b">
        <f t="shared" si="13"/>
        <v>0</v>
      </c>
      <c r="AR69" s="53" t="b">
        <f t="shared" si="14"/>
        <v>0</v>
      </c>
      <c r="AS69" s="53" t="b">
        <f t="shared" si="15"/>
        <v>0</v>
      </c>
      <c r="AT69" s="53" t="b">
        <f t="shared" si="16"/>
        <v>0</v>
      </c>
      <c r="AU69" s="53" t="b">
        <f t="shared" si="17"/>
        <v>0</v>
      </c>
      <c r="AV69" s="54"/>
      <c r="AW69" s="9"/>
      <c r="AX69" s="9"/>
      <c r="AY69" s="9"/>
    </row>
    <row r="70" spans="1:51" x14ac:dyDescent="0.25">
      <c r="A70" s="15"/>
      <c r="B70" s="15"/>
      <c r="C70" s="16"/>
      <c r="D70" s="16"/>
      <c r="E70" s="16"/>
      <c r="F70" s="17"/>
      <c r="G70" s="18"/>
      <c r="H70" s="18"/>
      <c r="I70" s="37" t="str">
        <f ca="1">IF(H70="","",VLOOKUP(H70,WeightClasses!$A$2:$E$18,IF(LEFT(G70,1)="F",IF(YEAR(TODAY())-F70&lt;24,4,2),IF(YEAR(TODAY())-F70&lt;24,5,3)),TRUE))</f>
        <v/>
      </c>
      <c r="J70" s="19"/>
      <c r="K70" s="38"/>
      <c r="L70" s="19"/>
      <c r="M70" s="38"/>
      <c r="N70" s="19"/>
      <c r="O70" s="38"/>
      <c r="P70" s="39" t="str">
        <f t="shared" si="18"/>
        <v/>
      </c>
      <c r="Q70" s="19"/>
      <c r="R70" s="38"/>
      <c r="S70" s="19"/>
      <c r="T70" s="38"/>
      <c r="U70" s="19"/>
      <c r="V70" s="38"/>
      <c r="W70" s="39" t="str">
        <f t="shared" ref="W70:W105" si="20">IF(OR(R70&lt;&gt;0,T70&lt;&gt;0,V70&lt;&gt;0),MAX(IF(Q70=$S$1,R70,0),IF(S70=$S$1,T70,0),IF(U70=$S$1,V70,0)),"")</f>
        <v/>
      </c>
      <c r="X70" s="19"/>
      <c r="Y70" s="38"/>
      <c r="Z70" s="19"/>
      <c r="AA70" s="38"/>
      <c r="AB70" s="19"/>
      <c r="AC70" s="38"/>
      <c r="AD70" s="39" t="str">
        <f t="shared" ref="AD70:AD105" si="21">IF(OR(Y70&lt;&gt;0,AA70&lt;&gt;0,AC70&lt;&gt;0),MAX(IF(X70=$S$1,Y70,0),IF(Z70=$S$1,AA70,0),IF(AB70=$S$1,AC70,0)),"")</f>
        <v/>
      </c>
      <c r="AE70" s="40" t="str">
        <f t="shared" ref="AE70:AE105" si="22">IF(OR(P70&lt;&gt;"",W70&lt;&gt;"",AD70&lt;&gt;""),IF(AU70,"DSQ",IF(AND(RIGHT(G70,2)="PL"),IF(P70="",0,P70)+IF(W70="",0,W70)+IF(AD70="",0,AD70),IF(AND(RIGHT(G70,2)="BP",W70&lt;&gt;0),W70,0))),"")</f>
        <v/>
      </c>
      <c r="AF70" s="48" t="str">
        <f t="shared" si="19"/>
        <v/>
      </c>
      <c r="AG70" s="52">
        <f>IF(OR(H70="",H70=0),0, ROUND(100/(VLOOKUP($G70,'IPF GL Formula'!$A$4:$F$11,3,FALSE)-VLOOKUP($G70,'IPF GL Formula'!$A$4:$F$11,4,FALSE)*EXP(-VLOOKUP($G70,'IPF GL Formula'!$A$4:$F$11,5,FALSE)*H70)),6))</f>
        <v>0</v>
      </c>
      <c r="AH70" s="9"/>
      <c r="AI70" s="57" t="b">
        <f t="shared" ref="AI70:AI105" si="23">J70=$S$2</f>
        <v>0</v>
      </c>
      <c r="AJ70" s="57" t="b">
        <f t="shared" ref="AJ70:AJ105" si="24">L70=$S$2</f>
        <v>0</v>
      </c>
      <c r="AK70" s="57" t="b">
        <f t="shared" ref="AK70:AK105" si="25">N70=$S$2</f>
        <v>0</v>
      </c>
      <c r="AL70" s="57" t="b">
        <f t="shared" ref="AL70:AL105" si="26">Q70=$S$2</f>
        <v>0</v>
      </c>
      <c r="AM70" s="57" t="b">
        <f t="shared" ref="AM70:AM105" si="27">S70=$S$2</f>
        <v>0</v>
      </c>
      <c r="AN70" s="57" t="b">
        <f t="shared" ref="AN70:AN105" si="28">U70=$S$2</f>
        <v>0</v>
      </c>
      <c r="AO70" s="57" t="b">
        <f t="shared" ref="AO70:AO105" si="29">X70=$S$2</f>
        <v>0</v>
      </c>
      <c r="AP70" s="57" t="b">
        <f t="shared" ref="AP70:AP105" si="30">Z70=$S$2</f>
        <v>0</v>
      </c>
      <c r="AQ70" s="57" t="b">
        <f t="shared" ref="AQ70:AQ105" si="31">AB70=$S$2</f>
        <v>0</v>
      </c>
      <c r="AR70" s="53" t="b">
        <f t="shared" ref="AR70:AR105" si="32">AND(AI70,AJ70,AK70)</f>
        <v>0</v>
      </c>
      <c r="AS70" s="53" t="b">
        <f t="shared" ref="AS70:AS105" si="33">AND(AL70,AM70,AN70)</f>
        <v>0</v>
      </c>
      <c r="AT70" s="53" t="b">
        <f t="shared" ref="AT70:AT105" si="34">AND(AO70,AP70,AQ70)</f>
        <v>0</v>
      </c>
      <c r="AU70" s="53" t="b">
        <f t="shared" ref="AU70:AU105" si="35">OR(AR70,AS70,AT70)</f>
        <v>0</v>
      </c>
      <c r="AV70" s="54"/>
      <c r="AW70" s="9"/>
      <c r="AX70" s="9"/>
      <c r="AY70" s="9"/>
    </row>
    <row r="71" spans="1:51" x14ac:dyDescent="0.25">
      <c r="A71" s="15"/>
      <c r="B71" s="15"/>
      <c r="C71" s="16"/>
      <c r="D71" s="16"/>
      <c r="E71" s="16"/>
      <c r="F71" s="17"/>
      <c r="G71" s="18"/>
      <c r="H71" s="18"/>
      <c r="I71" s="37" t="str">
        <f ca="1">IF(H71="","",VLOOKUP(H71,WeightClasses!$A$2:$E$18,IF(LEFT(G71,1)="F",IF(YEAR(TODAY())-F71&lt;24,4,2),IF(YEAR(TODAY())-F71&lt;24,5,3)),TRUE))</f>
        <v/>
      </c>
      <c r="J71" s="19"/>
      <c r="K71" s="38"/>
      <c r="L71" s="19"/>
      <c r="M71" s="38"/>
      <c r="N71" s="19"/>
      <c r="O71" s="38"/>
      <c r="P71" s="39" t="str">
        <f t="shared" si="18"/>
        <v/>
      </c>
      <c r="Q71" s="19"/>
      <c r="R71" s="38"/>
      <c r="S71" s="19"/>
      <c r="T71" s="38"/>
      <c r="U71" s="19"/>
      <c r="V71" s="38"/>
      <c r="W71" s="39" t="str">
        <f t="shared" si="20"/>
        <v/>
      </c>
      <c r="X71" s="19"/>
      <c r="Y71" s="38"/>
      <c r="Z71" s="19"/>
      <c r="AA71" s="38"/>
      <c r="AB71" s="19"/>
      <c r="AC71" s="38"/>
      <c r="AD71" s="39" t="str">
        <f t="shared" si="21"/>
        <v/>
      </c>
      <c r="AE71" s="40" t="str">
        <f t="shared" si="22"/>
        <v/>
      </c>
      <c r="AF71" s="48" t="str">
        <f t="shared" si="19"/>
        <v/>
      </c>
      <c r="AG71" s="52">
        <f>IF(OR(H71="",H71=0),0, ROUND(100/(VLOOKUP($G71,'IPF GL Formula'!$A$4:$F$11,3,FALSE)-VLOOKUP($G71,'IPF GL Formula'!$A$4:$F$11,4,FALSE)*EXP(-VLOOKUP($G71,'IPF GL Formula'!$A$4:$F$11,5,FALSE)*H71)),6))</f>
        <v>0</v>
      </c>
      <c r="AH71" s="9"/>
      <c r="AI71" s="57" t="b">
        <f t="shared" si="23"/>
        <v>0</v>
      </c>
      <c r="AJ71" s="57" t="b">
        <f t="shared" si="24"/>
        <v>0</v>
      </c>
      <c r="AK71" s="57" t="b">
        <f t="shared" si="25"/>
        <v>0</v>
      </c>
      <c r="AL71" s="57" t="b">
        <f t="shared" si="26"/>
        <v>0</v>
      </c>
      <c r="AM71" s="57" t="b">
        <f t="shared" si="27"/>
        <v>0</v>
      </c>
      <c r="AN71" s="57" t="b">
        <f t="shared" si="28"/>
        <v>0</v>
      </c>
      <c r="AO71" s="57" t="b">
        <f t="shared" si="29"/>
        <v>0</v>
      </c>
      <c r="AP71" s="57" t="b">
        <f t="shared" si="30"/>
        <v>0</v>
      </c>
      <c r="AQ71" s="57" t="b">
        <f t="shared" si="31"/>
        <v>0</v>
      </c>
      <c r="AR71" s="53" t="b">
        <f t="shared" si="32"/>
        <v>0</v>
      </c>
      <c r="AS71" s="53" t="b">
        <f t="shared" si="33"/>
        <v>0</v>
      </c>
      <c r="AT71" s="53" t="b">
        <f t="shared" si="34"/>
        <v>0</v>
      </c>
      <c r="AU71" s="53" t="b">
        <f t="shared" si="35"/>
        <v>0</v>
      </c>
      <c r="AV71" s="54"/>
      <c r="AW71" s="9"/>
      <c r="AX71" s="9"/>
      <c r="AY71" s="9"/>
    </row>
    <row r="72" spans="1:51" x14ac:dyDescent="0.25">
      <c r="A72" s="15"/>
      <c r="B72" s="15"/>
      <c r="C72" s="16"/>
      <c r="D72" s="16"/>
      <c r="E72" s="16"/>
      <c r="F72" s="17"/>
      <c r="G72" s="18"/>
      <c r="H72" s="18"/>
      <c r="I72" s="37" t="str">
        <f ca="1">IF(H72="","",VLOOKUP(H72,WeightClasses!$A$2:$E$18,IF(LEFT(G72,1)="F",IF(YEAR(TODAY())-F72&lt;24,4,2),IF(YEAR(TODAY())-F72&lt;24,5,3)),TRUE))</f>
        <v/>
      </c>
      <c r="J72" s="19"/>
      <c r="K72" s="38"/>
      <c r="L72" s="19"/>
      <c r="M72" s="38"/>
      <c r="N72" s="19"/>
      <c r="O72" s="38"/>
      <c r="P72" s="39" t="str">
        <f t="shared" si="18"/>
        <v/>
      </c>
      <c r="Q72" s="19"/>
      <c r="R72" s="38"/>
      <c r="S72" s="19"/>
      <c r="T72" s="38"/>
      <c r="U72" s="19"/>
      <c r="V72" s="38"/>
      <c r="W72" s="39" t="str">
        <f t="shared" si="20"/>
        <v/>
      </c>
      <c r="X72" s="19"/>
      <c r="Y72" s="38"/>
      <c r="Z72" s="19"/>
      <c r="AA72" s="38"/>
      <c r="AB72" s="19"/>
      <c r="AC72" s="38"/>
      <c r="AD72" s="39" t="str">
        <f t="shared" si="21"/>
        <v/>
      </c>
      <c r="AE72" s="40" t="str">
        <f t="shared" si="22"/>
        <v/>
      </c>
      <c r="AF72" s="48" t="str">
        <f t="shared" si="19"/>
        <v/>
      </c>
      <c r="AG72" s="52">
        <f>IF(OR(H72="",H72=0),0, ROUND(100/(VLOOKUP($G72,'IPF GL Formula'!$A$4:$F$11,3,FALSE)-VLOOKUP($G72,'IPF GL Formula'!$A$4:$F$11,4,FALSE)*EXP(-VLOOKUP($G72,'IPF GL Formula'!$A$4:$F$11,5,FALSE)*H72)),6))</f>
        <v>0</v>
      </c>
      <c r="AH72" s="9"/>
      <c r="AI72" s="57" t="b">
        <f t="shared" si="23"/>
        <v>0</v>
      </c>
      <c r="AJ72" s="57" t="b">
        <f t="shared" si="24"/>
        <v>0</v>
      </c>
      <c r="AK72" s="57" t="b">
        <f t="shared" si="25"/>
        <v>0</v>
      </c>
      <c r="AL72" s="57" t="b">
        <f t="shared" si="26"/>
        <v>0</v>
      </c>
      <c r="AM72" s="57" t="b">
        <f t="shared" si="27"/>
        <v>0</v>
      </c>
      <c r="AN72" s="57" t="b">
        <f t="shared" si="28"/>
        <v>0</v>
      </c>
      <c r="AO72" s="57" t="b">
        <f t="shared" si="29"/>
        <v>0</v>
      </c>
      <c r="AP72" s="57" t="b">
        <f t="shared" si="30"/>
        <v>0</v>
      </c>
      <c r="AQ72" s="57" t="b">
        <f t="shared" si="31"/>
        <v>0</v>
      </c>
      <c r="AR72" s="53" t="b">
        <f t="shared" si="32"/>
        <v>0</v>
      </c>
      <c r="AS72" s="53" t="b">
        <f t="shared" si="33"/>
        <v>0</v>
      </c>
      <c r="AT72" s="53" t="b">
        <f t="shared" si="34"/>
        <v>0</v>
      </c>
      <c r="AU72" s="53" t="b">
        <f t="shared" si="35"/>
        <v>0</v>
      </c>
      <c r="AV72" s="54"/>
      <c r="AW72" s="9"/>
      <c r="AX72" s="9"/>
      <c r="AY72" s="9"/>
    </row>
    <row r="73" spans="1:51" x14ac:dyDescent="0.25">
      <c r="A73" s="15"/>
      <c r="B73" s="15"/>
      <c r="C73" s="16"/>
      <c r="D73" s="16"/>
      <c r="E73" s="16"/>
      <c r="F73" s="17"/>
      <c r="G73" s="18"/>
      <c r="H73" s="18"/>
      <c r="I73" s="37" t="str">
        <f ca="1">IF(H73="","",VLOOKUP(H73,WeightClasses!$A$2:$E$18,IF(LEFT(G73,1)="F",IF(YEAR(TODAY())-F73&lt;24,4,2),IF(YEAR(TODAY())-F73&lt;24,5,3)),TRUE))</f>
        <v/>
      </c>
      <c r="J73" s="19"/>
      <c r="K73" s="38"/>
      <c r="L73" s="19"/>
      <c r="M73" s="38"/>
      <c r="N73" s="19"/>
      <c r="O73" s="38"/>
      <c r="P73" s="39" t="str">
        <f t="shared" si="18"/>
        <v/>
      </c>
      <c r="Q73" s="19"/>
      <c r="R73" s="38"/>
      <c r="S73" s="19"/>
      <c r="T73" s="38"/>
      <c r="U73" s="19"/>
      <c r="V73" s="38"/>
      <c r="W73" s="39" t="str">
        <f t="shared" si="20"/>
        <v/>
      </c>
      <c r="X73" s="19"/>
      <c r="Y73" s="38"/>
      <c r="Z73" s="19"/>
      <c r="AA73" s="38"/>
      <c r="AB73" s="19"/>
      <c r="AC73" s="38"/>
      <c r="AD73" s="39" t="str">
        <f t="shared" si="21"/>
        <v/>
      </c>
      <c r="AE73" s="40" t="str">
        <f t="shared" si="22"/>
        <v/>
      </c>
      <c r="AF73" s="48" t="str">
        <f t="shared" si="19"/>
        <v/>
      </c>
      <c r="AG73" s="52">
        <f>IF(OR(H73="",H73=0),0, ROUND(100/(VLOOKUP($G73,'IPF GL Formula'!$A$4:$F$11,3,FALSE)-VLOOKUP($G73,'IPF GL Formula'!$A$4:$F$11,4,FALSE)*EXP(-VLOOKUP($G73,'IPF GL Formula'!$A$4:$F$11,5,FALSE)*H73)),6))</f>
        <v>0</v>
      </c>
      <c r="AH73" s="9"/>
      <c r="AI73" s="57" t="b">
        <f t="shared" si="23"/>
        <v>0</v>
      </c>
      <c r="AJ73" s="57" t="b">
        <f t="shared" si="24"/>
        <v>0</v>
      </c>
      <c r="AK73" s="57" t="b">
        <f t="shared" si="25"/>
        <v>0</v>
      </c>
      <c r="AL73" s="57" t="b">
        <f t="shared" si="26"/>
        <v>0</v>
      </c>
      <c r="AM73" s="57" t="b">
        <f t="shared" si="27"/>
        <v>0</v>
      </c>
      <c r="AN73" s="57" t="b">
        <f t="shared" si="28"/>
        <v>0</v>
      </c>
      <c r="AO73" s="57" t="b">
        <f t="shared" si="29"/>
        <v>0</v>
      </c>
      <c r="AP73" s="57" t="b">
        <f t="shared" si="30"/>
        <v>0</v>
      </c>
      <c r="AQ73" s="57" t="b">
        <f t="shared" si="31"/>
        <v>0</v>
      </c>
      <c r="AR73" s="53" t="b">
        <f t="shared" si="32"/>
        <v>0</v>
      </c>
      <c r="AS73" s="53" t="b">
        <f t="shared" si="33"/>
        <v>0</v>
      </c>
      <c r="AT73" s="53" t="b">
        <f t="shared" si="34"/>
        <v>0</v>
      </c>
      <c r="AU73" s="53" t="b">
        <f t="shared" si="35"/>
        <v>0</v>
      </c>
      <c r="AV73" s="54"/>
      <c r="AW73" s="9"/>
      <c r="AX73" s="9"/>
      <c r="AY73" s="9"/>
    </row>
    <row r="74" spans="1:51" x14ac:dyDescent="0.25">
      <c r="A74" s="15"/>
      <c r="B74" s="15"/>
      <c r="C74" s="16"/>
      <c r="D74" s="16"/>
      <c r="E74" s="16"/>
      <c r="F74" s="17"/>
      <c r="G74" s="18"/>
      <c r="H74" s="18"/>
      <c r="I74" s="37" t="str">
        <f ca="1">IF(H74="","",VLOOKUP(H74,WeightClasses!$A$2:$E$18,IF(LEFT(G74,1)="F",IF(YEAR(TODAY())-F74&lt;24,4,2),IF(YEAR(TODAY())-F74&lt;24,5,3)),TRUE))</f>
        <v/>
      </c>
      <c r="J74" s="19"/>
      <c r="K74" s="38"/>
      <c r="L74" s="19"/>
      <c r="M74" s="38"/>
      <c r="N74" s="19"/>
      <c r="O74" s="38"/>
      <c r="P74" s="39" t="str">
        <f t="shared" si="18"/>
        <v/>
      </c>
      <c r="Q74" s="19"/>
      <c r="R74" s="38"/>
      <c r="S74" s="19"/>
      <c r="T74" s="38"/>
      <c r="U74" s="19"/>
      <c r="V74" s="38"/>
      <c r="W74" s="39" t="str">
        <f t="shared" si="20"/>
        <v/>
      </c>
      <c r="X74" s="19"/>
      <c r="Y74" s="38"/>
      <c r="Z74" s="19"/>
      <c r="AA74" s="38"/>
      <c r="AB74" s="19"/>
      <c r="AC74" s="38"/>
      <c r="AD74" s="39" t="str">
        <f t="shared" si="21"/>
        <v/>
      </c>
      <c r="AE74" s="40" t="str">
        <f t="shared" si="22"/>
        <v/>
      </c>
      <c r="AF74" s="48" t="str">
        <f t="shared" si="19"/>
        <v/>
      </c>
      <c r="AG74" s="52">
        <f>IF(OR(H74="",H74=0),0, ROUND(100/(VLOOKUP($G74,'IPF GL Formula'!$A$4:$F$11,3,FALSE)-VLOOKUP($G74,'IPF GL Formula'!$A$4:$F$11,4,FALSE)*EXP(-VLOOKUP($G74,'IPF GL Formula'!$A$4:$F$11,5,FALSE)*H74)),6))</f>
        <v>0</v>
      </c>
      <c r="AH74" s="9"/>
      <c r="AI74" s="57" t="b">
        <f t="shared" si="23"/>
        <v>0</v>
      </c>
      <c r="AJ74" s="57" t="b">
        <f t="shared" si="24"/>
        <v>0</v>
      </c>
      <c r="AK74" s="57" t="b">
        <f t="shared" si="25"/>
        <v>0</v>
      </c>
      <c r="AL74" s="57" t="b">
        <f t="shared" si="26"/>
        <v>0</v>
      </c>
      <c r="AM74" s="57" t="b">
        <f t="shared" si="27"/>
        <v>0</v>
      </c>
      <c r="AN74" s="57" t="b">
        <f t="shared" si="28"/>
        <v>0</v>
      </c>
      <c r="AO74" s="57" t="b">
        <f t="shared" si="29"/>
        <v>0</v>
      </c>
      <c r="AP74" s="57" t="b">
        <f t="shared" si="30"/>
        <v>0</v>
      </c>
      <c r="AQ74" s="57" t="b">
        <f t="shared" si="31"/>
        <v>0</v>
      </c>
      <c r="AR74" s="53" t="b">
        <f t="shared" si="32"/>
        <v>0</v>
      </c>
      <c r="AS74" s="53" t="b">
        <f t="shared" si="33"/>
        <v>0</v>
      </c>
      <c r="AT74" s="53" t="b">
        <f t="shared" si="34"/>
        <v>0</v>
      </c>
      <c r="AU74" s="53" t="b">
        <f t="shared" si="35"/>
        <v>0</v>
      </c>
      <c r="AV74" s="54"/>
      <c r="AW74" s="9"/>
      <c r="AX74" s="9"/>
      <c r="AY74" s="9"/>
    </row>
    <row r="75" spans="1:51" x14ac:dyDescent="0.25">
      <c r="A75" s="15"/>
      <c r="B75" s="15"/>
      <c r="C75" s="16"/>
      <c r="D75" s="16"/>
      <c r="E75" s="16"/>
      <c r="F75" s="17"/>
      <c r="G75" s="18"/>
      <c r="H75" s="18"/>
      <c r="I75" s="37" t="str">
        <f ca="1">IF(H75="","",VLOOKUP(H75,WeightClasses!$A$2:$E$18,IF(LEFT(G75,1)="F",IF(YEAR(TODAY())-F75&lt;24,4,2),IF(YEAR(TODAY())-F75&lt;24,5,3)),TRUE))</f>
        <v/>
      </c>
      <c r="J75" s="19"/>
      <c r="K75" s="38"/>
      <c r="L75" s="19"/>
      <c r="M75" s="38"/>
      <c r="N75" s="19"/>
      <c r="O75" s="38"/>
      <c r="P75" s="39" t="str">
        <f t="shared" si="18"/>
        <v/>
      </c>
      <c r="Q75" s="19"/>
      <c r="R75" s="38"/>
      <c r="S75" s="19"/>
      <c r="T75" s="38"/>
      <c r="U75" s="19"/>
      <c r="V75" s="38"/>
      <c r="W75" s="39" t="str">
        <f t="shared" si="20"/>
        <v/>
      </c>
      <c r="X75" s="19"/>
      <c r="Y75" s="38"/>
      <c r="Z75" s="19"/>
      <c r="AA75" s="38"/>
      <c r="AB75" s="19"/>
      <c r="AC75" s="38"/>
      <c r="AD75" s="39" t="str">
        <f t="shared" si="21"/>
        <v/>
      </c>
      <c r="AE75" s="40" t="str">
        <f t="shared" si="22"/>
        <v/>
      </c>
      <c r="AF75" s="48" t="str">
        <f t="shared" si="19"/>
        <v/>
      </c>
      <c r="AG75" s="52">
        <f>IF(OR(H75="",H75=0),0, ROUND(100/(VLOOKUP($G75,'IPF GL Formula'!$A$4:$F$11,3,FALSE)-VLOOKUP($G75,'IPF GL Formula'!$A$4:$F$11,4,FALSE)*EXP(-VLOOKUP($G75,'IPF GL Formula'!$A$4:$F$11,5,FALSE)*H75)),6))</f>
        <v>0</v>
      </c>
      <c r="AH75" s="9"/>
      <c r="AI75" s="57" t="b">
        <f t="shared" si="23"/>
        <v>0</v>
      </c>
      <c r="AJ75" s="57" t="b">
        <f t="shared" si="24"/>
        <v>0</v>
      </c>
      <c r="AK75" s="57" t="b">
        <f t="shared" si="25"/>
        <v>0</v>
      </c>
      <c r="AL75" s="57" t="b">
        <f t="shared" si="26"/>
        <v>0</v>
      </c>
      <c r="AM75" s="57" t="b">
        <f t="shared" si="27"/>
        <v>0</v>
      </c>
      <c r="AN75" s="57" t="b">
        <f t="shared" si="28"/>
        <v>0</v>
      </c>
      <c r="AO75" s="57" t="b">
        <f t="shared" si="29"/>
        <v>0</v>
      </c>
      <c r="AP75" s="57" t="b">
        <f t="shared" si="30"/>
        <v>0</v>
      </c>
      <c r="AQ75" s="57" t="b">
        <f t="shared" si="31"/>
        <v>0</v>
      </c>
      <c r="AR75" s="53" t="b">
        <f t="shared" si="32"/>
        <v>0</v>
      </c>
      <c r="AS75" s="53" t="b">
        <f t="shared" si="33"/>
        <v>0</v>
      </c>
      <c r="AT75" s="53" t="b">
        <f t="shared" si="34"/>
        <v>0</v>
      </c>
      <c r="AU75" s="53" t="b">
        <f t="shared" si="35"/>
        <v>0</v>
      </c>
      <c r="AV75" s="54"/>
      <c r="AW75" s="9"/>
      <c r="AX75" s="9"/>
      <c r="AY75" s="9"/>
    </row>
    <row r="76" spans="1:51" x14ac:dyDescent="0.25">
      <c r="A76" s="15"/>
      <c r="B76" s="15"/>
      <c r="C76" s="16"/>
      <c r="D76" s="16"/>
      <c r="E76" s="16"/>
      <c r="F76" s="17"/>
      <c r="G76" s="18"/>
      <c r="H76" s="18"/>
      <c r="I76" s="37" t="str">
        <f ca="1">IF(H76="","",VLOOKUP(H76,WeightClasses!$A$2:$E$18,IF(LEFT(G76,1)="F",IF(YEAR(TODAY())-F76&lt;24,4,2),IF(YEAR(TODAY())-F76&lt;24,5,3)),TRUE))</f>
        <v/>
      </c>
      <c r="J76" s="19"/>
      <c r="K76" s="38"/>
      <c r="L76" s="19"/>
      <c r="M76" s="38"/>
      <c r="N76" s="19"/>
      <c r="O76" s="38"/>
      <c r="P76" s="39" t="str">
        <f t="shared" si="18"/>
        <v/>
      </c>
      <c r="Q76" s="19"/>
      <c r="R76" s="38"/>
      <c r="S76" s="19"/>
      <c r="T76" s="38"/>
      <c r="U76" s="19"/>
      <c r="V76" s="38"/>
      <c r="W76" s="39" t="str">
        <f t="shared" si="20"/>
        <v/>
      </c>
      <c r="X76" s="19"/>
      <c r="Y76" s="38"/>
      <c r="Z76" s="19"/>
      <c r="AA76" s="38"/>
      <c r="AB76" s="19"/>
      <c r="AC76" s="38"/>
      <c r="AD76" s="39" t="str">
        <f t="shared" si="21"/>
        <v/>
      </c>
      <c r="AE76" s="40" t="str">
        <f t="shared" si="22"/>
        <v/>
      </c>
      <c r="AF76" s="48" t="str">
        <f t="shared" si="19"/>
        <v/>
      </c>
      <c r="AG76" s="52">
        <f>IF(OR(H76="",H76=0),0, ROUND(100/(VLOOKUP($G76,'IPF GL Formula'!$A$4:$F$11,3,FALSE)-VLOOKUP($G76,'IPF GL Formula'!$A$4:$F$11,4,FALSE)*EXP(-VLOOKUP($G76,'IPF GL Formula'!$A$4:$F$11,5,FALSE)*H76)),6))</f>
        <v>0</v>
      </c>
      <c r="AH76" s="9"/>
      <c r="AI76" s="57" t="b">
        <f t="shared" si="23"/>
        <v>0</v>
      </c>
      <c r="AJ76" s="57" t="b">
        <f t="shared" si="24"/>
        <v>0</v>
      </c>
      <c r="AK76" s="57" t="b">
        <f t="shared" si="25"/>
        <v>0</v>
      </c>
      <c r="AL76" s="57" t="b">
        <f t="shared" si="26"/>
        <v>0</v>
      </c>
      <c r="AM76" s="57" t="b">
        <f t="shared" si="27"/>
        <v>0</v>
      </c>
      <c r="AN76" s="57" t="b">
        <f t="shared" si="28"/>
        <v>0</v>
      </c>
      <c r="AO76" s="57" t="b">
        <f t="shared" si="29"/>
        <v>0</v>
      </c>
      <c r="AP76" s="57" t="b">
        <f t="shared" si="30"/>
        <v>0</v>
      </c>
      <c r="AQ76" s="57" t="b">
        <f t="shared" si="31"/>
        <v>0</v>
      </c>
      <c r="AR76" s="53" t="b">
        <f t="shared" si="32"/>
        <v>0</v>
      </c>
      <c r="AS76" s="53" t="b">
        <f t="shared" si="33"/>
        <v>0</v>
      </c>
      <c r="AT76" s="53" t="b">
        <f t="shared" si="34"/>
        <v>0</v>
      </c>
      <c r="AU76" s="53" t="b">
        <f t="shared" si="35"/>
        <v>0</v>
      </c>
      <c r="AV76" s="54"/>
      <c r="AW76" s="9"/>
      <c r="AX76" s="9"/>
      <c r="AY76" s="9"/>
    </row>
    <row r="77" spans="1:51" x14ac:dyDescent="0.25">
      <c r="A77" s="15"/>
      <c r="B77" s="15"/>
      <c r="C77" s="16"/>
      <c r="D77" s="16"/>
      <c r="E77" s="16"/>
      <c r="F77" s="17"/>
      <c r="G77" s="18"/>
      <c r="H77" s="18"/>
      <c r="I77" s="37" t="str">
        <f ca="1">IF(H77="","",VLOOKUP(H77,WeightClasses!$A$2:$E$18,IF(LEFT(G77,1)="F",IF(YEAR(TODAY())-F77&lt;24,4,2),IF(YEAR(TODAY())-F77&lt;24,5,3)),TRUE))</f>
        <v/>
      </c>
      <c r="J77" s="19"/>
      <c r="K77" s="38"/>
      <c r="L77" s="19"/>
      <c r="M77" s="38"/>
      <c r="N77" s="19"/>
      <c r="O77" s="38"/>
      <c r="P77" s="39" t="str">
        <f t="shared" ref="P77:P105" si="36">IF(OR(K77&lt;&gt;0,M77&lt;&gt;0,O77&lt;&gt;0),MAX(IF(J77=$S$1,K77,0),IF(L77=$S$1,M77,0),IF(N77=$S$1,O77,0)),"")</f>
        <v/>
      </c>
      <c r="Q77" s="19"/>
      <c r="R77" s="38"/>
      <c r="S77" s="19"/>
      <c r="T77" s="38"/>
      <c r="U77" s="19"/>
      <c r="V77" s="38"/>
      <c r="W77" s="39" t="str">
        <f t="shared" si="20"/>
        <v/>
      </c>
      <c r="X77" s="19"/>
      <c r="Y77" s="38"/>
      <c r="Z77" s="19"/>
      <c r="AA77" s="38"/>
      <c r="AB77" s="19"/>
      <c r="AC77" s="38"/>
      <c r="AD77" s="39" t="str">
        <f t="shared" si="21"/>
        <v/>
      </c>
      <c r="AE77" s="40" t="str">
        <f t="shared" si="22"/>
        <v/>
      </c>
      <c r="AF77" s="48" t="str">
        <f t="shared" ref="AF77:AF105" si="37">IF(AND(AE77&lt;&gt;"",ISNUMBER(AE77)),AG77*AE77,"")</f>
        <v/>
      </c>
      <c r="AG77" s="52">
        <f>IF(OR(H77="",H77=0),0, ROUND(100/(VLOOKUP($G77,'IPF GL Formula'!$A$4:$F$11,3,FALSE)-VLOOKUP($G77,'IPF GL Formula'!$A$4:$F$11,4,FALSE)*EXP(-VLOOKUP($G77,'IPF GL Formula'!$A$4:$F$11,5,FALSE)*H77)),6))</f>
        <v>0</v>
      </c>
      <c r="AH77" s="9"/>
      <c r="AI77" s="57" t="b">
        <f t="shared" si="23"/>
        <v>0</v>
      </c>
      <c r="AJ77" s="57" t="b">
        <f t="shared" si="24"/>
        <v>0</v>
      </c>
      <c r="AK77" s="57" t="b">
        <f t="shared" si="25"/>
        <v>0</v>
      </c>
      <c r="AL77" s="57" t="b">
        <f t="shared" si="26"/>
        <v>0</v>
      </c>
      <c r="AM77" s="57" t="b">
        <f t="shared" si="27"/>
        <v>0</v>
      </c>
      <c r="AN77" s="57" t="b">
        <f t="shared" si="28"/>
        <v>0</v>
      </c>
      <c r="AO77" s="57" t="b">
        <f t="shared" si="29"/>
        <v>0</v>
      </c>
      <c r="AP77" s="57" t="b">
        <f t="shared" si="30"/>
        <v>0</v>
      </c>
      <c r="AQ77" s="57" t="b">
        <f t="shared" si="31"/>
        <v>0</v>
      </c>
      <c r="AR77" s="53" t="b">
        <f t="shared" si="32"/>
        <v>0</v>
      </c>
      <c r="AS77" s="53" t="b">
        <f t="shared" si="33"/>
        <v>0</v>
      </c>
      <c r="AT77" s="53" t="b">
        <f t="shared" si="34"/>
        <v>0</v>
      </c>
      <c r="AU77" s="53" t="b">
        <f t="shared" si="35"/>
        <v>0</v>
      </c>
      <c r="AV77" s="54"/>
      <c r="AW77" s="9"/>
      <c r="AX77" s="9"/>
      <c r="AY77" s="9"/>
    </row>
    <row r="78" spans="1:51" x14ac:dyDescent="0.25">
      <c r="A78" s="15"/>
      <c r="B78" s="15"/>
      <c r="C78" s="16"/>
      <c r="D78" s="16"/>
      <c r="E78" s="16"/>
      <c r="F78" s="17"/>
      <c r="G78" s="18"/>
      <c r="H78" s="18"/>
      <c r="I78" s="37" t="str">
        <f ca="1">IF(H78="","",VLOOKUP(H78,WeightClasses!$A$2:$E$18,IF(LEFT(G78,1)="F",IF(YEAR(TODAY())-F78&lt;24,4,2),IF(YEAR(TODAY())-F78&lt;24,5,3)),TRUE))</f>
        <v/>
      </c>
      <c r="J78" s="19"/>
      <c r="K78" s="38"/>
      <c r="L78" s="19"/>
      <c r="M78" s="38"/>
      <c r="N78" s="19"/>
      <c r="O78" s="38"/>
      <c r="P78" s="39" t="str">
        <f t="shared" si="36"/>
        <v/>
      </c>
      <c r="Q78" s="19"/>
      <c r="R78" s="38"/>
      <c r="S78" s="19"/>
      <c r="T78" s="38"/>
      <c r="U78" s="19"/>
      <c r="V78" s="38"/>
      <c r="W78" s="39" t="str">
        <f t="shared" si="20"/>
        <v/>
      </c>
      <c r="X78" s="19"/>
      <c r="Y78" s="38"/>
      <c r="Z78" s="19"/>
      <c r="AA78" s="38"/>
      <c r="AB78" s="19"/>
      <c r="AC78" s="38"/>
      <c r="AD78" s="39" t="str">
        <f t="shared" si="21"/>
        <v/>
      </c>
      <c r="AE78" s="40" t="str">
        <f t="shared" si="22"/>
        <v/>
      </c>
      <c r="AF78" s="48" t="str">
        <f t="shared" si="37"/>
        <v/>
      </c>
      <c r="AG78" s="52">
        <f>IF(OR(H78="",H78=0),0, ROUND(100/(VLOOKUP($G78,'IPF GL Formula'!$A$4:$F$11,3,FALSE)-VLOOKUP($G78,'IPF GL Formula'!$A$4:$F$11,4,FALSE)*EXP(-VLOOKUP($G78,'IPF GL Formula'!$A$4:$F$11,5,FALSE)*H78)),6))</f>
        <v>0</v>
      </c>
      <c r="AH78" s="9"/>
      <c r="AI78" s="57" t="b">
        <f t="shared" si="23"/>
        <v>0</v>
      </c>
      <c r="AJ78" s="57" t="b">
        <f t="shared" si="24"/>
        <v>0</v>
      </c>
      <c r="AK78" s="57" t="b">
        <f t="shared" si="25"/>
        <v>0</v>
      </c>
      <c r="AL78" s="57" t="b">
        <f t="shared" si="26"/>
        <v>0</v>
      </c>
      <c r="AM78" s="57" t="b">
        <f t="shared" si="27"/>
        <v>0</v>
      </c>
      <c r="AN78" s="57" t="b">
        <f t="shared" si="28"/>
        <v>0</v>
      </c>
      <c r="AO78" s="57" t="b">
        <f t="shared" si="29"/>
        <v>0</v>
      </c>
      <c r="AP78" s="57" t="b">
        <f t="shared" si="30"/>
        <v>0</v>
      </c>
      <c r="AQ78" s="57" t="b">
        <f t="shared" si="31"/>
        <v>0</v>
      </c>
      <c r="AR78" s="53" t="b">
        <f t="shared" si="32"/>
        <v>0</v>
      </c>
      <c r="AS78" s="53" t="b">
        <f t="shared" si="33"/>
        <v>0</v>
      </c>
      <c r="AT78" s="53" t="b">
        <f t="shared" si="34"/>
        <v>0</v>
      </c>
      <c r="AU78" s="53" t="b">
        <f t="shared" si="35"/>
        <v>0</v>
      </c>
      <c r="AV78" s="54"/>
      <c r="AW78" s="9"/>
      <c r="AX78" s="9"/>
      <c r="AY78" s="9"/>
    </row>
    <row r="79" spans="1:51" x14ac:dyDescent="0.25">
      <c r="A79" s="15"/>
      <c r="B79" s="15"/>
      <c r="C79" s="16"/>
      <c r="D79" s="16"/>
      <c r="E79" s="16"/>
      <c r="F79" s="17"/>
      <c r="G79" s="18"/>
      <c r="H79" s="18"/>
      <c r="I79" s="37" t="str">
        <f ca="1">IF(H79="","",VLOOKUP(H79,WeightClasses!$A$2:$E$18,IF(LEFT(G79,1)="F",IF(YEAR(TODAY())-F79&lt;24,4,2),IF(YEAR(TODAY())-F79&lt;24,5,3)),TRUE))</f>
        <v/>
      </c>
      <c r="J79" s="19"/>
      <c r="K79" s="38"/>
      <c r="L79" s="19"/>
      <c r="M79" s="38"/>
      <c r="N79" s="19"/>
      <c r="O79" s="38"/>
      <c r="P79" s="39" t="str">
        <f t="shared" si="36"/>
        <v/>
      </c>
      <c r="Q79" s="19"/>
      <c r="R79" s="38"/>
      <c r="S79" s="19"/>
      <c r="T79" s="38"/>
      <c r="U79" s="19"/>
      <c r="V79" s="38"/>
      <c r="W79" s="39" t="str">
        <f t="shared" si="20"/>
        <v/>
      </c>
      <c r="X79" s="19"/>
      <c r="Y79" s="38"/>
      <c r="Z79" s="19"/>
      <c r="AA79" s="38"/>
      <c r="AB79" s="19"/>
      <c r="AC79" s="38"/>
      <c r="AD79" s="39" t="str">
        <f t="shared" si="21"/>
        <v/>
      </c>
      <c r="AE79" s="40" t="str">
        <f t="shared" si="22"/>
        <v/>
      </c>
      <c r="AF79" s="48" t="str">
        <f t="shared" si="37"/>
        <v/>
      </c>
      <c r="AG79" s="52">
        <f>IF(OR(H79="",H79=0),0, ROUND(100/(VLOOKUP($G79,'IPF GL Formula'!$A$4:$F$11,3,FALSE)-VLOOKUP($G79,'IPF GL Formula'!$A$4:$F$11,4,FALSE)*EXP(-VLOOKUP($G79,'IPF GL Formula'!$A$4:$F$11,5,FALSE)*H79)),6))</f>
        <v>0</v>
      </c>
      <c r="AH79" s="9"/>
      <c r="AI79" s="57" t="b">
        <f t="shared" si="23"/>
        <v>0</v>
      </c>
      <c r="AJ79" s="57" t="b">
        <f t="shared" si="24"/>
        <v>0</v>
      </c>
      <c r="AK79" s="57" t="b">
        <f t="shared" si="25"/>
        <v>0</v>
      </c>
      <c r="AL79" s="57" t="b">
        <f t="shared" si="26"/>
        <v>0</v>
      </c>
      <c r="AM79" s="57" t="b">
        <f t="shared" si="27"/>
        <v>0</v>
      </c>
      <c r="AN79" s="57" t="b">
        <f t="shared" si="28"/>
        <v>0</v>
      </c>
      <c r="AO79" s="57" t="b">
        <f t="shared" si="29"/>
        <v>0</v>
      </c>
      <c r="AP79" s="57" t="b">
        <f t="shared" si="30"/>
        <v>0</v>
      </c>
      <c r="AQ79" s="57" t="b">
        <f t="shared" si="31"/>
        <v>0</v>
      </c>
      <c r="AR79" s="53" t="b">
        <f t="shared" si="32"/>
        <v>0</v>
      </c>
      <c r="AS79" s="53" t="b">
        <f t="shared" si="33"/>
        <v>0</v>
      </c>
      <c r="AT79" s="53" t="b">
        <f t="shared" si="34"/>
        <v>0</v>
      </c>
      <c r="AU79" s="53" t="b">
        <f t="shared" si="35"/>
        <v>0</v>
      </c>
      <c r="AV79" s="54"/>
      <c r="AW79" s="9"/>
      <c r="AX79" s="9"/>
      <c r="AY79" s="9"/>
    </row>
    <row r="80" spans="1:51" x14ac:dyDescent="0.25">
      <c r="A80" s="15"/>
      <c r="B80" s="15"/>
      <c r="C80" s="16"/>
      <c r="D80" s="16"/>
      <c r="E80" s="16"/>
      <c r="F80" s="17"/>
      <c r="G80" s="18"/>
      <c r="H80" s="18"/>
      <c r="I80" s="37" t="str">
        <f ca="1">IF(H80="","",VLOOKUP(H80,WeightClasses!$A$2:$E$18,IF(LEFT(G80,1)="F",IF(YEAR(TODAY())-F80&lt;24,4,2),IF(YEAR(TODAY())-F80&lt;24,5,3)),TRUE))</f>
        <v/>
      </c>
      <c r="J80" s="19"/>
      <c r="K80" s="38"/>
      <c r="L80" s="19"/>
      <c r="M80" s="38"/>
      <c r="N80" s="19"/>
      <c r="O80" s="38"/>
      <c r="P80" s="39" t="str">
        <f t="shared" si="36"/>
        <v/>
      </c>
      <c r="Q80" s="19"/>
      <c r="R80" s="38"/>
      <c r="S80" s="19"/>
      <c r="T80" s="38"/>
      <c r="U80" s="19"/>
      <c r="V80" s="38"/>
      <c r="W80" s="39" t="str">
        <f t="shared" si="20"/>
        <v/>
      </c>
      <c r="X80" s="19"/>
      <c r="Y80" s="38"/>
      <c r="Z80" s="19"/>
      <c r="AA80" s="38"/>
      <c r="AB80" s="19"/>
      <c r="AC80" s="38"/>
      <c r="AD80" s="39" t="str">
        <f t="shared" si="21"/>
        <v/>
      </c>
      <c r="AE80" s="40" t="str">
        <f t="shared" si="22"/>
        <v/>
      </c>
      <c r="AF80" s="48" t="str">
        <f t="shared" si="37"/>
        <v/>
      </c>
      <c r="AG80" s="52">
        <f>IF(OR(H80="",H80=0),0, ROUND(100/(VLOOKUP($G80,'IPF GL Formula'!$A$4:$F$11,3,FALSE)-VLOOKUP($G80,'IPF GL Formula'!$A$4:$F$11,4,FALSE)*EXP(-VLOOKUP($G80,'IPF GL Formula'!$A$4:$F$11,5,FALSE)*H80)),6))</f>
        <v>0</v>
      </c>
      <c r="AH80" s="9"/>
      <c r="AI80" s="57" t="b">
        <f t="shared" si="23"/>
        <v>0</v>
      </c>
      <c r="AJ80" s="57" t="b">
        <f t="shared" si="24"/>
        <v>0</v>
      </c>
      <c r="AK80" s="57" t="b">
        <f t="shared" si="25"/>
        <v>0</v>
      </c>
      <c r="AL80" s="57" t="b">
        <f t="shared" si="26"/>
        <v>0</v>
      </c>
      <c r="AM80" s="57" t="b">
        <f t="shared" si="27"/>
        <v>0</v>
      </c>
      <c r="AN80" s="57" t="b">
        <f t="shared" si="28"/>
        <v>0</v>
      </c>
      <c r="AO80" s="57" t="b">
        <f t="shared" si="29"/>
        <v>0</v>
      </c>
      <c r="AP80" s="57" t="b">
        <f t="shared" si="30"/>
        <v>0</v>
      </c>
      <c r="AQ80" s="57" t="b">
        <f t="shared" si="31"/>
        <v>0</v>
      </c>
      <c r="AR80" s="53" t="b">
        <f t="shared" si="32"/>
        <v>0</v>
      </c>
      <c r="AS80" s="53" t="b">
        <f t="shared" si="33"/>
        <v>0</v>
      </c>
      <c r="AT80" s="53" t="b">
        <f t="shared" si="34"/>
        <v>0</v>
      </c>
      <c r="AU80" s="53" t="b">
        <f t="shared" si="35"/>
        <v>0</v>
      </c>
      <c r="AV80" s="54"/>
      <c r="AW80" s="9"/>
      <c r="AX80" s="9"/>
      <c r="AY80" s="9"/>
    </row>
    <row r="81" spans="1:51" x14ac:dyDescent="0.25">
      <c r="A81" s="15"/>
      <c r="B81" s="15"/>
      <c r="C81" s="16"/>
      <c r="D81" s="16"/>
      <c r="E81" s="16"/>
      <c r="F81" s="17"/>
      <c r="G81" s="18"/>
      <c r="H81" s="18"/>
      <c r="I81" s="37" t="str">
        <f ca="1">IF(H81="","",VLOOKUP(H81,WeightClasses!$A$2:$E$18,IF(LEFT(G81,1)="F",IF(YEAR(TODAY())-F81&lt;24,4,2),IF(YEAR(TODAY())-F81&lt;24,5,3)),TRUE))</f>
        <v/>
      </c>
      <c r="J81" s="19"/>
      <c r="K81" s="38"/>
      <c r="L81" s="19"/>
      <c r="M81" s="38"/>
      <c r="N81" s="19"/>
      <c r="O81" s="38"/>
      <c r="P81" s="39" t="str">
        <f t="shared" si="36"/>
        <v/>
      </c>
      <c r="Q81" s="19"/>
      <c r="R81" s="38"/>
      <c r="S81" s="19"/>
      <c r="T81" s="38"/>
      <c r="U81" s="19"/>
      <c r="V81" s="38"/>
      <c r="W81" s="39" t="str">
        <f t="shared" si="20"/>
        <v/>
      </c>
      <c r="X81" s="19"/>
      <c r="Y81" s="38"/>
      <c r="Z81" s="19"/>
      <c r="AA81" s="38"/>
      <c r="AB81" s="19"/>
      <c r="AC81" s="38"/>
      <c r="AD81" s="39" t="str">
        <f t="shared" si="21"/>
        <v/>
      </c>
      <c r="AE81" s="40" t="str">
        <f t="shared" si="22"/>
        <v/>
      </c>
      <c r="AF81" s="48" t="str">
        <f t="shared" si="37"/>
        <v/>
      </c>
      <c r="AG81" s="52">
        <f>IF(OR(H81="",H81=0),0, ROUND(100/(VLOOKUP($G81,'IPF GL Formula'!$A$4:$F$11,3,FALSE)-VLOOKUP($G81,'IPF GL Formula'!$A$4:$F$11,4,FALSE)*EXP(-VLOOKUP($G81,'IPF GL Formula'!$A$4:$F$11,5,FALSE)*H81)),6))</f>
        <v>0</v>
      </c>
      <c r="AH81" s="9"/>
      <c r="AI81" s="57" t="b">
        <f t="shared" si="23"/>
        <v>0</v>
      </c>
      <c r="AJ81" s="57" t="b">
        <f t="shared" si="24"/>
        <v>0</v>
      </c>
      <c r="AK81" s="57" t="b">
        <f t="shared" si="25"/>
        <v>0</v>
      </c>
      <c r="AL81" s="57" t="b">
        <f t="shared" si="26"/>
        <v>0</v>
      </c>
      <c r="AM81" s="57" t="b">
        <f t="shared" si="27"/>
        <v>0</v>
      </c>
      <c r="AN81" s="57" t="b">
        <f t="shared" si="28"/>
        <v>0</v>
      </c>
      <c r="AO81" s="57" t="b">
        <f t="shared" si="29"/>
        <v>0</v>
      </c>
      <c r="AP81" s="57" t="b">
        <f t="shared" si="30"/>
        <v>0</v>
      </c>
      <c r="AQ81" s="57" t="b">
        <f t="shared" si="31"/>
        <v>0</v>
      </c>
      <c r="AR81" s="53" t="b">
        <f t="shared" si="32"/>
        <v>0</v>
      </c>
      <c r="AS81" s="53" t="b">
        <f t="shared" si="33"/>
        <v>0</v>
      </c>
      <c r="AT81" s="53" t="b">
        <f t="shared" si="34"/>
        <v>0</v>
      </c>
      <c r="AU81" s="53" t="b">
        <f t="shared" si="35"/>
        <v>0</v>
      </c>
      <c r="AV81" s="54"/>
      <c r="AW81" s="9"/>
      <c r="AX81" s="9"/>
      <c r="AY81" s="9"/>
    </row>
    <row r="82" spans="1:51" x14ac:dyDescent="0.25">
      <c r="A82" s="15"/>
      <c r="B82" s="15"/>
      <c r="C82" s="16"/>
      <c r="D82" s="16"/>
      <c r="E82" s="16"/>
      <c r="F82" s="17"/>
      <c r="G82" s="18"/>
      <c r="H82" s="18"/>
      <c r="I82" s="37" t="str">
        <f ca="1">IF(H82="","",VLOOKUP(H82,WeightClasses!$A$2:$E$18,IF(LEFT(G82,1)="F",IF(YEAR(TODAY())-F82&lt;24,4,2),IF(YEAR(TODAY())-F82&lt;24,5,3)),TRUE))</f>
        <v/>
      </c>
      <c r="J82" s="19"/>
      <c r="K82" s="38"/>
      <c r="L82" s="19"/>
      <c r="M82" s="38"/>
      <c r="N82" s="19"/>
      <c r="O82" s="38"/>
      <c r="P82" s="39" t="str">
        <f t="shared" si="36"/>
        <v/>
      </c>
      <c r="Q82" s="19"/>
      <c r="R82" s="38"/>
      <c r="S82" s="19"/>
      <c r="T82" s="38"/>
      <c r="U82" s="19"/>
      <c r="V82" s="38"/>
      <c r="W82" s="39" t="str">
        <f t="shared" si="20"/>
        <v/>
      </c>
      <c r="X82" s="19"/>
      <c r="Y82" s="38"/>
      <c r="Z82" s="19"/>
      <c r="AA82" s="38"/>
      <c r="AB82" s="19"/>
      <c r="AC82" s="38"/>
      <c r="AD82" s="39" t="str">
        <f t="shared" si="21"/>
        <v/>
      </c>
      <c r="AE82" s="40" t="str">
        <f t="shared" si="22"/>
        <v/>
      </c>
      <c r="AF82" s="48" t="str">
        <f t="shared" si="37"/>
        <v/>
      </c>
      <c r="AG82" s="52">
        <f>IF(OR(H82="",H82=0),0, ROUND(100/(VLOOKUP($G82,'IPF GL Formula'!$A$4:$F$11,3,FALSE)-VLOOKUP($G82,'IPF GL Formula'!$A$4:$F$11,4,FALSE)*EXP(-VLOOKUP($G82,'IPF GL Formula'!$A$4:$F$11,5,FALSE)*H82)),6))</f>
        <v>0</v>
      </c>
      <c r="AH82" s="9"/>
      <c r="AI82" s="57" t="b">
        <f t="shared" si="23"/>
        <v>0</v>
      </c>
      <c r="AJ82" s="57" t="b">
        <f t="shared" si="24"/>
        <v>0</v>
      </c>
      <c r="AK82" s="57" t="b">
        <f t="shared" si="25"/>
        <v>0</v>
      </c>
      <c r="AL82" s="57" t="b">
        <f t="shared" si="26"/>
        <v>0</v>
      </c>
      <c r="AM82" s="57" t="b">
        <f t="shared" si="27"/>
        <v>0</v>
      </c>
      <c r="AN82" s="57" t="b">
        <f t="shared" si="28"/>
        <v>0</v>
      </c>
      <c r="AO82" s="57" t="b">
        <f t="shared" si="29"/>
        <v>0</v>
      </c>
      <c r="AP82" s="57" t="b">
        <f t="shared" si="30"/>
        <v>0</v>
      </c>
      <c r="AQ82" s="57" t="b">
        <f t="shared" si="31"/>
        <v>0</v>
      </c>
      <c r="AR82" s="53" t="b">
        <f t="shared" si="32"/>
        <v>0</v>
      </c>
      <c r="AS82" s="53" t="b">
        <f t="shared" si="33"/>
        <v>0</v>
      </c>
      <c r="AT82" s="53" t="b">
        <f t="shared" si="34"/>
        <v>0</v>
      </c>
      <c r="AU82" s="53" t="b">
        <f t="shared" si="35"/>
        <v>0</v>
      </c>
      <c r="AV82" s="54"/>
      <c r="AW82" s="9"/>
      <c r="AX82" s="9"/>
      <c r="AY82" s="9"/>
    </row>
    <row r="83" spans="1:51" x14ac:dyDescent="0.25">
      <c r="A83" s="15"/>
      <c r="B83" s="15"/>
      <c r="C83" s="16"/>
      <c r="D83" s="16"/>
      <c r="E83" s="16"/>
      <c r="F83" s="17"/>
      <c r="G83" s="18"/>
      <c r="H83" s="18"/>
      <c r="I83" s="37" t="str">
        <f ca="1">IF(H83="","",VLOOKUP(H83,WeightClasses!$A$2:$E$18,IF(LEFT(G83,1)="F",IF(YEAR(TODAY())-F83&lt;24,4,2),IF(YEAR(TODAY())-F83&lt;24,5,3)),TRUE))</f>
        <v/>
      </c>
      <c r="J83" s="19"/>
      <c r="K83" s="38"/>
      <c r="L83" s="19"/>
      <c r="M83" s="38"/>
      <c r="N83" s="19"/>
      <c r="O83" s="38"/>
      <c r="P83" s="39" t="str">
        <f t="shared" si="36"/>
        <v/>
      </c>
      <c r="Q83" s="19"/>
      <c r="R83" s="38"/>
      <c r="S83" s="19"/>
      <c r="T83" s="38"/>
      <c r="U83" s="19"/>
      <c r="V83" s="38"/>
      <c r="W83" s="39" t="str">
        <f t="shared" si="20"/>
        <v/>
      </c>
      <c r="X83" s="19"/>
      <c r="Y83" s="38"/>
      <c r="Z83" s="19"/>
      <c r="AA83" s="38"/>
      <c r="AB83" s="19"/>
      <c r="AC83" s="38"/>
      <c r="AD83" s="39" t="str">
        <f t="shared" si="21"/>
        <v/>
      </c>
      <c r="AE83" s="40" t="str">
        <f t="shared" si="22"/>
        <v/>
      </c>
      <c r="AF83" s="48" t="str">
        <f t="shared" si="37"/>
        <v/>
      </c>
      <c r="AG83" s="52">
        <f>IF(OR(H83="",H83=0),0, ROUND(100/(VLOOKUP($G83,'IPF GL Formula'!$A$4:$F$11,3,FALSE)-VLOOKUP($G83,'IPF GL Formula'!$A$4:$F$11,4,FALSE)*EXP(-VLOOKUP($G83,'IPF GL Formula'!$A$4:$F$11,5,FALSE)*H83)),6))</f>
        <v>0</v>
      </c>
      <c r="AH83" s="9"/>
      <c r="AI83" s="57" t="b">
        <f t="shared" si="23"/>
        <v>0</v>
      </c>
      <c r="AJ83" s="57" t="b">
        <f t="shared" si="24"/>
        <v>0</v>
      </c>
      <c r="AK83" s="57" t="b">
        <f t="shared" si="25"/>
        <v>0</v>
      </c>
      <c r="AL83" s="57" t="b">
        <f t="shared" si="26"/>
        <v>0</v>
      </c>
      <c r="AM83" s="57" t="b">
        <f t="shared" si="27"/>
        <v>0</v>
      </c>
      <c r="AN83" s="57" t="b">
        <f t="shared" si="28"/>
        <v>0</v>
      </c>
      <c r="AO83" s="57" t="b">
        <f t="shared" si="29"/>
        <v>0</v>
      </c>
      <c r="AP83" s="57" t="b">
        <f t="shared" si="30"/>
        <v>0</v>
      </c>
      <c r="AQ83" s="57" t="b">
        <f t="shared" si="31"/>
        <v>0</v>
      </c>
      <c r="AR83" s="53" t="b">
        <f t="shared" si="32"/>
        <v>0</v>
      </c>
      <c r="AS83" s="53" t="b">
        <f t="shared" si="33"/>
        <v>0</v>
      </c>
      <c r="AT83" s="53" t="b">
        <f t="shared" si="34"/>
        <v>0</v>
      </c>
      <c r="AU83" s="53" t="b">
        <f t="shared" si="35"/>
        <v>0</v>
      </c>
      <c r="AV83" s="54"/>
      <c r="AW83" s="9"/>
      <c r="AX83" s="9"/>
      <c r="AY83" s="9"/>
    </row>
    <row r="84" spans="1:51" x14ac:dyDescent="0.25">
      <c r="A84" s="15"/>
      <c r="B84" s="15"/>
      <c r="C84" s="16"/>
      <c r="D84" s="16"/>
      <c r="E84" s="16"/>
      <c r="F84" s="17"/>
      <c r="G84" s="18"/>
      <c r="H84" s="18"/>
      <c r="I84" s="37" t="str">
        <f ca="1">IF(H84="","",VLOOKUP(H84,WeightClasses!$A$2:$E$18,IF(LEFT(G84,1)="F",IF(YEAR(TODAY())-F84&lt;24,4,2),IF(YEAR(TODAY())-F84&lt;24,5,3)),TRUE))</f>
        <v/>
      </c>
      <c r="J84" s="19"/>
      <c r="K84" s="38"/>
      <c r="L84" s="19"/>
      <c r="M84" s="38"/>
      <c r="N84" s="19"/>
      <c r="O84" s="38"/>
      <c r="P84" s="39" t="str">
        <f t="shared" si="36"/>
        <v/>
      </c>
      <c r="Q84" s="19"/>
      <c r="R84" s="38"/>
      <c r="S84" s="19"/>
      <c r="T84" s="38"/>
      <c r="U84" s="19"/>
      <c r="V84" s="38"/>
      <c r="W84" s="39" t="str">
        <f t="shared" si="20"/>
        <v/>
      </c>
      <c r="X84" s="19"/>
      <c r="Y84" s="38"/>
      <c r="Z84" s="19"/>
      <c r="AA84" s="38"/>
      <c r="AB84" s="19"/>
      <c r="AC84" s="38"/>
      <c r="AD84" s="39" t="str">
        <f t="shared" si="21"/>
        <v/>
      </c>
      <c r="AE84" s="40" t="str">
        <f t="shared" si="22"/>
        <v/>
      </c>
      <c r="AF84" s="48" t="str">
        <f t="shared" si="37"/>
        <v/>
      </c>
      <c r="AG84" s="52">
        <f>IF(OR(H84="",H84=0),0, ROUND(100/(VLOOKUP($G84,'IPF GL Formula'!$A$4:$F$11,3,FALSE)-VLOOKUP($G84,'IPF GL Formula'!$A$4:$F$11,4,FALSE)*EXP(-VLOOKUP($G84,'IPF GL Formula'!$A$4:$F$11,5,FALSE)*H84)),6))</f>
        <v>0</v>
      </c>
      <c r="AH84" s="9"/>
      <c r="AI84" s="57" t="b">
        <f t="shared" si="23"/>
        <v>0</v>
      </c>
      <c r="AJ84" s="57" t="b">
        <f t="shared" si="24"/>
        <v>0</v>
      </c>
      <c r="AK84" s="57" t="b">
        <f t="shared" si="25"/>
        <v>0</v>
      </c>
      <c r="AL84" s="57" t="b">
        <f t="shared" si="26"/>
        <v>0</v>
      </c>
      <c r="AM84" s="57" t="b">
        <f t="shared" si="27"/>
        <v>0</v>
      </c>
      <c r="AN84" s="57" t="b">
        <f t="shared" si="28"/>
        <v>0</v>
      </c>
      <c r="AO84" s="57" t="b">
        <f t="shared" si="29"/>
        <v>0</v>
      </c>
      <c r="AP84" s="57" t="b">
        <f t="shared" si="30"/>
        <v>0</v>
      </c>
      <c r="AQ84" s="57" t="b">
        <f t="shared" si="31"/>
        <v>0</v>
      </c>
      <c r="AR84" s="53" t="b">
        <f t="shared" si="32"/>
        <v>0</v>
      </c>
      <c r="AS84" s="53" t="b">
        <f t="shared" si="33"/>
        <v>0</v>
      </c>
      <c r="AT84" s="53" t="b">
        <f t="shared" si="34"/>
        <v>0</v>
      </c>
      <c r="AU84" s="53" t="b">
        <f t="shared" si="35"/>
        <v>0</v>
      </c>
      <c r="AV84" s="54"/>
      <c r="AW84" s="9"/>
      <c r="AX84" s="9"/>
      <c r="AY84" s="9"/>
    </row>
    <row r="85" spans="1:51" x14ac:dyDescent="0.25">
      <c r="A85" s="15"/>
      <c r="B85" s="15"/>
      <c r="C85" s="16"/>
      <c r="D85" s="16"/>
      <c r="E85" s="16"/>
      <c r="F85" s="17"/>
      <c r="G85" s="18"/>
      <c r="H85" s="18"/>
      <c r="I85" s="37" t="str">
        <f ca="1">IF(H85="","",VLOOKUP(H85,WeightClasses!$A$2:$E$18,IF(LEFT(G85,1)="F",IF(YEAR(TODAY())-F85&lt;24,4,2),IF(YEAR(TODAY())-F85&lt;24,5,3)),TRUE))</f>
        <v/>
      </c>
      <c r="J85" s="19"/>
      <c r="K85" s="38"/>
      <c r="L85" s="19"/>
      <c r="M85" s="38"/>
      <c r="N85" s="19"/>
      <c r="O85" s="38"/>
      <c r="P85" s="39" t="str">
        <f t="shared" si="36"/>
        <v/>
      </c>
      <c r="Q85" s="19"/>
      <c r="R85" s="38"/>
      <c r="S85" s="19"/>
      <c r="T85" s="38"/>
      <c r="U85" s="19"/>
      <c r="V85" s="38"/>
      <c r="W85" s="39" t="str">
        <f t="shared" si="20"/>
        <v/>
      </c>
      <c r="X85" s="19"/>
      <c r="Y85" s="38"/>
      <c r="Z85" s="19"/>
      <c r="AA85" s="38"/>
      <c r="AB85" s="19"/>
      <c r="AC85" s="38"/>
      <c r="AD85" s="39" t="str">
        <f t="shared" si="21"/>
        <v/>
      </c>
      <c r="AE85" s="40" t="str">
        <f t="shared" si="22"/>
        <v/>
      </c>
      <c r="AF85" s="48" t="str">
        <f t="shared" si="37"/>
        <v/>
      </c>
      <c r="AG85" s="52">
        <f>IF(OR(H85="",H85=0),0, ROUND(100/(VLOOKUP($G85,'IPF GL Formula'!$A$4:$F$11,3,FALSE)-VLOOKUP($G85,'IPF GL Formula'!$A$4:$F$11,4,FALSE)*EXP(-VLOOKUP($G85,'IPF GL Formula'!$A$4:$F$11,5,FALSE)*H85)),6))</f>
        <v>0</v>
      </c>
      <c r="AH85" s="9"/>
      <c r="AI85" s="57" t="b">
        <f t="shared" si="23"/>
        <v>0</v>
      </c>
      <c r="AJ85" s="57" t="b">
        <f t="shared" si="24"/>
        <v>0</v>
      </c>
      <c r="AK85" s="57" t="b">
        <f t="shared" si="25"/>
        <v>0</v>
      </c>
      <c r="AL85" s="57" t="b">
        <f t="shared" si="26"/>
        <v>0</v>
      </c>
      <c r="AM85" s="57" t="b">
        <f t="shared" si="27"/>
        <v>0</v>
      </c>
      <c r="AN85" s="57" t="b">
        <f t="shared" si="28"/>
        <v>0</v>
      </c>
      <c r="AO85" s="57" t="b">
        <f t="shared" si="29"/>
        <v>0</v>
      </c>
      <c r="AP85" s="57" t="b">
        <f t="shared" si="30"/>
        <v>0</v>
      </c>
      <c r="AQ85" s="57" t="b">
        <f t="shared" si="31"/>
        <v>0</v>
      </c>
      <c r="AR85" s="53" t="b">
        <f t="shared" si="32"/>
        <v>0</v>
      </c>
      <c r="AS85" s="53" t="b">
        <f t="shared" si="33"/>
        <v>0</v>
      </c>
      <c r="AT85" s="53" t="b">
        <f t="shared" si="34"/>
        <v>0</v>
      </c>
      <c r="AU85" s="53" t="b">
        <f t="shared" si="35"/>
        <v>0</v>
      </c>
      <c r="AV85" s="54"/>
      <c r="AW85" s="9"/>
      <c r="AX85" s="9"/>
      <c r="AY85" s="9"/>
    </row>
    <row r="86" spans="1:51" x14ac:dyDescent="0.25">
      <c r="A86" s="15"/>
      <c r="B86" s="15"/>
      <c r="C86" s="16"/>
      <c r="D86" s="16"/>
      <c r="E86" s="16"/>
      <c r="F86" s="17"/>
      <c r="G86" s="18"/>
      <c r="H86" s="18"/>
      <c r="I86" s="37" t="str">
        <f ca="1">IF(H86="","",VLOOKUP(H86,WeightClasses!$A$2:$E$18,IF(LEFT(G86,1)="F",IF(YEAR(TODAY())-F86&lt;24,4,2),IF(YEAR(TODAY())-F86&lt;24,5,3)),TRUE))</f>
        <v/>
      </c>
      <c r="J86" s="19"/>
      <c r="K86" s="38"/>
      <c r="L86" s="19"/>
      <c r="M86" s="38"/>
      <c r="N86" s="19"/>
      <c r="O86" s="38"/>
      <c r="P86" s="39" t="str">
        <f t="shared" si="36"/>
        <v/>
      </c>
      <c r="Q86" s="19"/>
      <c r="R86" s="38"/>
      <c r="S86" s="19"/>
      <c r="T86" s="38"/>
      <c r="U86" s="19"/>
      <c r="V86" s="38"/>
      <c r="W86" s="39" t="str">
        <f t="shared" si="20"/>
        <v/>
      </c>
      <c r="X86" s="19"/>
      <c r="Y86" s="38"/>
      <c r="Z86" s="19"/>
      <c r="AA86" s="38"/>
      <c r="AB86" s="19"/>
      <c r="AC86" s="38"/>
      <c r="AD86" s="39" t="str">
        <f t="shared" si="21"/>
        <v/>
      </c>
      <c r="AE86" s="40" t="str">
        <f t="shared" si="22"/>
        <v/>
      </c>
      <c r="AF86" s="48" t="str">
        <f t="shared" si="37"/>
        <v/>
      </c>
      <c r="AG86" s="52">
        <f>IF(OR(H86="",H86=0),0, ROUND(100/(VLOOKUP($G86,'IPF GL Formula'!$A$4:$F$11,3,FALSE)-VLOOKUP($G86,'IPF GL Formula'!$A$4:$F$11,4,FALSE)*EXP(-VLOOKUP($G86,'IPF GL Formula'!$A$4:$F$11,5,FALSE)*H86)),6))</f>
        <v>0</v>
      </c>
      <c r="AH86" s="9"/>
      <c r="AI86" s="57" t="b">
        <f t="shared" si="23"/>
        <v>0</v>
      </c>
      <c r="AJ86" s="57" t="b">
        <f t="shared" si="24"/>
        <v>0</v>
      </c>
      <c r="AK86" s="57" t="b">
        <f t="shared" si="25"/>
        <v>0</v>
      </c>
      <c r="AL86" s="57" t="b">
        <f t="shared" si="26"/>
        <v>0</v>
      </c>
      <c r="AM86" s="57" t="b">
        <f t="shared" si="27"/>
        <v>0</v>
      </c>
      <c r="AN86" s="57" t="b">
        <f t="shared" si="28"/>
        <v>0</v>
      </c>
      <c r="AO86" s="57" t="b">
        <f t="shared" si="29"/>
        <v>0</v>
      </c>
      <c r="AP86" s="57" t="b">
        <f t="shared" si="30"/>
        <v>0</v>
      </c>
      <c r="AQ86" s="57" t="b">
        <f t="shared" si="31"/>
        <v>0</v>
      </c>
      <c r="AR86" s="53" t="b">
        <f t="shared" si="32"/>
        <v>0</v>
      </c>
      <c r="AS86" s="53" t="b">
        <f t="shared" si="33"/>
        <v>0</v>
      </c>
      <c r="AT86" s="53" t="b">
        <f t="shared" si="34"/>
        <v>0</v>
      </c>
      <c r="AU86" s="53" t="b">
        <f t="shared" si="35"/>
        <v>0</v>
      </c>
      <c r="AV86" s="54"/>
      <c r="AW86" s="9"/>
      <c r="AX86" s="9"/>
      <c r="AY86" s="9"/>
    </row>
    <row r="87" spans="1:51" x14ac:dyDescent="0.25">
      <c r="A87" s="15"/>
      <c r="B87" s="15"/>
      <c r="C87" s="16"/>
      <c r="D87" s="16"/>
      <c r="E87" s="16"/>
      <c r="F87" s="17"/>
      <c r="G87" s="18"/>
      <c r="H87" s="18"/>
      <c r="I87" s="37" t="str">
        <f ca="1">IF(H87="","",VLOOKUP(H87,WeightClasses!$A$2:$E$18,IF(LEFT(G87,1)="F",IF(YEAR(TODAY())-F87&lt;24,4,2),IF(YEAR(TODAY())-F87&lt;24,5,3)),TRUE))</f>
        <v/>
      </c>
      <c r="J87" s="19"/>
      <c r="K87" s="38"/>
      <c r="L87" s="19"/>
      <c r="M87" s="38"/>
      <c r="N87" s="19"/>
      <c r="O87" s="38"/>
      <c r="P87" s="39" t="str">
        <f t="shared" si="36"/>
        <v/>
      </c>
      <c r="Q87" s="19"/>
      <c r="R87" s="38"/>
      <c r="S87" s="19"/>
      <c r="T87" s="38"/>
      <c r="U87" s="19"/>
      <c r="V87" s="38"/>
      <c r="W87" s="39" t="str">
        <f t="shared" si="20"/>
        <v/>
      </c>
      <c r="X87" s="19"/>
      <c r="Y87" s="38"/>
      <c r="Z87" s="19"/>
      <c r="AA87" s="38"/>
      <c r="AB87" s="19"/>
      <c r="AC87" s="38"/>
      <c r="AD87" s="39" t="str">
        <f t="shared" si="21"/>
        <v/>
      </c>
      <c r="AE87" s="40" t="str">
        <f t="shared" si="22"/>
        <v/>
      </c>
      <c r="AF87" s="48" t="str">
        <f t="shared" si="37"/>
        <v/>
      </c>
      <c r="AG87" s="52">
        <f>IF(OR(H87="",H87=0),0, ROUND(100/(VLOOKUP($G87,'IPF GL Formula'!$A$4:$F$11,3,FALSE)-VLOOKUP($G87,'IPF GL Formula'!$A$4:$F$11,4,FALSE)*EXP(-VLOOKUP($G87,'IPF GL Formula'!$A$4:$F$11,5,FALSE)*H87)),6))</f>
        <v>0</v>
      </c>
      <c r="AH87" s="9"/>
      <c r="AI87" s="57" t="b">
        <f t="shared" si="23"/>
        <v>0</v>
      </c>
      <c r="AJ87" s="57" t="b">
        <f t="shared" si="24"/>
        <v>0</v>
      </c>
      <c r="AK87" s="57" t="b">
        <f t="shared" si="25"/>
        <v>0</v>
      </c>
      <c r="AL87" s="57" t="b">
        <f t="shared" si="26"/>
        <v>0</v>
      </c>
      <c r="AM87" s="57" t="b">
        <f t="shared" si="27"/>
        <v>0</v>
      </c>
      <c r="AN87" s="57" t="b">
        <f t="shared" si="28"/>
        <v>0</v>
      </c>
      <c r="AO87" s="57" t="b">
        <f t="shared" si="29"/>
        <v>0</v>
      </c>
      <c r="AP87" s="57" t="b">
        <f t="shared" si="30"/>
        <v>0</v>
      </c>
      <c r="AQ87" s="57" t="b">
        <f t="shared" si="31"/>
        <v>0</v>
      </c>
      <c r="AR87" s="53" t="b">
        <f t="shared" si="32"/>
        <v>0</v>
      </c>
      <c r="AS87" s="53" t="b">
        <f t="shared" si="33"/>
        <v>0</v>
      </c>
      <c r="AT87" s="53" t="b">
        <f t="shared" si="34"/>
        <v>0</v>
      </c>
      <c r="AU87" s="53" t="b">
        <f t="shared" si="35"/>
        <v>0</v>
      </c>
      <c r="AV87" s="54"/>
      <c r="AW87" s="9"/>
      <c r="AX87" s="9"/>
      <c r="AY87" s="9"/>
    </row>
    <row r="88" spans="1:51" x14ac:dyDescent="0.25">
      <c r="A88" s="15"/>
      <c r="B88" s="15"/>
      <c r="C88" s="16"/>
      <c r="D88" s="16"/>
      <c r="E88" s="16"/>
      <c r="F88" s="17"/>
      <c r="G88" s="18"/>
      <c r="H88" s="18"/>
      <c r="I88" s="37" t="str">
        <f ca="1">IF(H88="","",VLOOKUP(H88,WeightClasses!$A$2:$E$18,IF(LEFT(G88,1)="F",IF(YEAR(TODAY())-F88&lt;24,4,2),IF(YEAR(TODAY())-F88&lt;24,5,3)),TRUE))</f>
        <v/>
      </c>
      <c r="J88" s="19"/>
      <c r="K88" s="38"/>
      <c r="L88" s="19"/>
      <c r="M88" s="38"/>
      <c r="N88" s="19"/>
      <c r="O88" s="38"/>
      <c r="P88" s="39" t="str">
        <f t="shared" si="36"/>
        <v/>
      </c>
      <c r="Q88" s="19"/>
      <c r="R88" s="38"/>
      <c r="S88" s="19"/>
      <c r="T88" s="38"/>
      <c r="U88" s="19"/>
      <c r="V88" s="38"/>
      <c r="W88" s="39" t="str">
        <f t="shared" si="20"/>
        <v/>
      </c>
      <c r="X88" s="19"/>
      <c r="Y88" s="38"/>
      <c r="Z88" s="19"/>
      <c r="AA88" s="38"/>
      <c r="AB88" s="19"/>
      <c r="AC88" s="38"/>
      <c r="AD88" s="39" t="str">
        <f t="shared" si="21"/>
        <v/>
      </c>
      <c r="AE88" s="40" t="str">
        <f t="shared" si="22"/>
        <v/>
      </c>
      <c r="AF88" s="48" t="str">
        <f t="shared" si="37"/>
        <v/>
      </c>
      <c r="AG88" s="52">
        <f>IF(OR(H88="",H88=0),0, ROUND(100/(VLOOKUP($G88,'IPF GL Formula'!$A$4:$F$11,3,FALSE)-VLOOKUP($G88,'IPF GL Formula'!$A$4:$F$11,4,FALSE)*EXP(-VLOOKUP($G88,'IPF GL Formula'!$A$4:$F$11,5,FALSE)*H88)),6))</f>
        <v>0</v>
      </c>
      <c r="AH88" s="9"/>
      <c r="AI88" s="57" t="b">
        <f t="shared" si="23"/>
        <v>0</v>
      </c>
      <c r="AJ88" s="57" t="b">
        <f t="shared" si="24"/>
        <v>0</v>
      </c>
      <c r="AK88" s="57" t="b">
        <f t="shared" si="25"/>
        <v>0</v>
      </c>
      <c r="AL88" s="57" t="b">
        <f t="shared" si="26"/>
        <v>0</v>
      </c>
      <c r="AM88" s="57" t="b">
        <f t="shared" si="27"/>
        <v>0</v>
      </c>
      <c r="AN88" s="57" t="b">
        <f t="shared" si="28"/>
        <v>0</v>
      </c>
      <c r="AO88" s="57" t="b">
        <f t="shared" si="29"/>
        <v>0</v>
      </c>
      <c r="AP88" s="57" t="b">
        <f t="shared" si="30"/>
        <v>0</v>
      </c>
      <c r="AQ88" s="57" t="b">
        <f t="shared" si="31"/>
        <v>0</v>
      </c>
      <c r="AR88" s="53" t="b">
        <f t="shared" si="32"/>
        <v>0</v>
      </c>
      <c r="AS88" s="53" t="b">
        <f t="shared" si="33"/>
        <v>0</v>
      </c>
      <c r="AT88" s="53" t="b">
        <f t="shared" si="34"/>
        <v>0</v>
      </c>
      <c r="AU88" s="53" t="b">
        <f t="shared" si="35"/>
        <v>0</v>
      </c>
      <c r="AV88" s="54"/>
      <c r="AW88" s="9"/>
      <c r="AX88" s="9"/>
      <c r="AY88" s="9"/>
    </row>
    <row r="89" spans="1:51" x14ac:dyDescent="0.25">
      <c r="A89" s="15"/>
      <c r="B89" s="15"/>
      <c r="C89" s="16"/>
      <c r="D89" s="16"/>
      <c r="E89" s="16"/>
      <c r="F89" s="17"/>
      <c r="G89" s="18"/>
      <c r="H89" s="18"/>
      <c r="I89" s="37" t="str">
        <f ca="1">IF(H89="","",VLOOKUP(H89,WeightClasses!$A$2:$E$18,IF(LEFT(G89,1)="F",IF(YEAR(TODAY())-F89&lt;24,4,2),IF(YEAR(TODAY())-F89&lt;24,5,3)),TRUE))</f>
        <v/>
      </c>
      <c r="J89" s="19"/>
      <c r="K89" s="38"/>
      <c r="L89" s="19"/>
      <c r="M89" s="38"/>
      <c r="N89" s="19"/>
      <c r="O89" s="38"/>
      <c r="P89" s="39" t="str">
        <f t="shared" si="36"/>
        <v/>
      </c>
      <c r="Q89" s="19"/>
      <c r="R89" s="38"/>
      <c r="S89" s="19"/>
      <c r="T89" s="38"/>
      <c r="U89" s="19"/>
      <c r="V89" s="38"/>
      <c r="W89" s="39" t="str">
        <f t="shared" si="20"/>
        <v/>
      </c>
      <c r="X89" s="19"/>
      <c r="Y89" s="38"/>
      <c r="Z89" s="19"/>
      <c r="AA89" s="38"/>
      <c r="AB89" s="19"/>
      <c r="AC89" s="38"/>
      <c r="AD89" s="39" t="str">
        <f t="shared" si="21"/>
        <v/>
      </c>
      <c r="AE89" s="40" t="str">
        <f t="shared" si="22"/>
        <v/>
      </c>
      <c r="AF89" s="48" t="str">
        <f t="shared" si="37"/>
        <v/>
      </c>
      <c r="AG89" s="52">
        <f>IF(OR(H89="",H89=0),0, ROUND(100/(VLOOKUP($G89,'IPF GL Formula'!$A$4:$F$11,3,FALSE)-VLOOKUP($G89,'IPF GL Formula'!$A$4:$F$11,4,FALSE)*EXP(-VLOOKUP($G89,'IPF GL Formula'!$A$4:$F$11,5,FALSE)*H89)),6))</f>
        <v>0</v>
      </c>
      <c r="AH89" s="9"/>
      <c r="AI89" s="57" t="b">
        <f t="shared" si="23"/>
        <v>0</v>
      </c>
      <c r="AJ89" s="57" t="b">
        <f t="shared" si="24"/>
        <v>0</v>
      </c>
      <c r="AK89" s="57" t="b">
        <f t="shared" si="25"/>
        <v>0</v>
      </c>
      <c r="AL89" s="57" t="b">
        <f t="shared" si="26"/>
        <v>0</v>
      </c>
      <c r="AM89" s="57" t="b">
        <f t="shared" si="27"/>
        <v>0</v>
      </c>
      <c r="AN89" s="57" t="b">
        <f t="shared" si="28"/>
        <v>0</v>
      </c>
      <c r="AO89" s="57" t="b">
        <f t="shared" si="29"/>
        <v>0</v>
      </c>
      <c r="AP89" s="57" t="b">
        <f t="shared" si="30"/>
        <v>0</v>
      </c>
      <c r="AQ89" s="57" t="b">
        <f t="shared" si="31"/>
        <v>0</v>
      </c>
      <c r="AR89" s="53" t="b">
        <f t="shared" si="32"/>
        <v>0</v>
      </c>
      <c r="AS89" s="53" t="b">
        <f t="shared" si="33"/>
        <v>0</v>
      </c>
      <c r="AT89" s="53" t="b">
        <f t="shared" si="34"/>
        <v>0</v>
      </c>
      <c r="AU89" s="53" t="b">
        <f t="shared" si="35"/>
        <v>0</v>
      </c>
      <c r="AV89" s="54"/>
      <c r="AW89" s="9"/>
      <c r="AX89" s="9"/>
      <c r="AY89" s="9"/>
    </row>
    <row r="90" spans="1:51" x14ac:dyDescent="0.25">
      <c r="A90" s="15"/>
      <c r="B90" s="15"/>
      <c r="C90" s="16"/>
      <c r="D90" s="16"/>
      <c r="E90" s="16"/>
      <c r="F90" s="17"/>
      <c r="G90" s="18"/>
      <c r="H90" s="18"/>
      <c r="I90" s="37" t="str">
        <f ca="1">IF(H90="","",VLOOKUP(H90,WeightClasses!$A$2:$E$18,IF(LEFT(G90,1)="F",IF(YEAR(TODAY())-F90&lt;24,4,2),IF(YEAR(TODAY())-F90&lt;24,5,3)),TRUE))</f>
        <v/>
      </c>
      <c r="J90" s="19"/>
      <c r="K90" s="38"/>
      <c r="L90" s="19"/>
      <c r="M90" s="38"/>
      <c r="N90" s="19"/>
      <c r="O90" s="38"/>
      <c r="P90" s="39" t="str">
        <f t="shared" si="36"/>
        <v/>
      </c>
      <c r="Q90" s="19"/>
      <c r="R90" s="38"/>
      <c r="S90" s="19"/>
      <c r="T90" s="38"/>
      <c r="U90" s="19"/>
      <c r="V90" s="38"/>
      <c r="W90" s="39" t="str">
        <f t="shared" si="20"/>
        <v/>
      </c>
      <c r="X90" s="19"/>
      <c r="Y90" s="38"/>
      <c r="Z90" s="19"/>
      <c r="AA90" s="38"/>
      <c r="AB90" s="19"/>
      <c r="AC90" s="38"/>
      <c r="AD90" s="39" t="str">
        <f t="shared" si="21"/>
        <v/>
      </c>
      <c r="AE90" s="40" t="str">
        <f t="shared" si="22"/>
        <v/>
      </c>
      <c r="AF90" s="48" t="str">
        <f t="shared" si="37"/>
        <v/>
      </c>
      <c r="AG90" s="52">
        <f>IF(OR(H90="",H90=0),0, ROUND(100/(VLOOKUP($G90,'IPF GL Formula'!$A$4:$F$11,3,FALSE)-VLOOKUP($G90,'IPF GL Formula'!$A$4:$F$11,4,FALSE)*EXP(-VLOOKUP($G90,'IPF GL Formula'!$A$4:$F$11,5,FALSE)*H90)),6))</f>
        <v>0</v>
      </c>
      <c r="AH90" s="9"/>
      <c r="AI90" s="57" t="b">
        <f t="shared" si="23"/>
        <v>0</v>
      </c>
      <c r="AJ90" s="57" t="b">
        <f t="shared" si="24"/>
        <v>0</v>
      </c>
      <c r="AK90" s="57" t="b">
        <f t="shared" si="25"/>
        <v>0</v>
      </c>
      <c r="AL90" s="57" t="b">
        <f t="shared" si="26"/>
        <v>0</v>
      </c>
      <c r="AM90" s="57" t="b">
        <f t="shared" si="27"/>
        <v>0</v>
      </c>
      <c r="AN90" s="57" t="b">
        <f t="shared" si="28"/>
        <v>0</v>
      </c>
      <c r="AO90" s="57" t="b">
        <f t="shared" si="29"/>
        <v>0</v>
      </c>
      <c r="AP90" s="57" t="b">
        <f t="shared" si="30"/>
        <v>0</v>
      </c>
      <c r="AQ90" s="57" t="b">
        <f t="shared" si="31"/>
        <v>0</v>
      </c>
      <c r="AR90" s="53" t="b">
        <f t="shared" si="32"/>
        <v>0</v>
      </c>
      <c r="AS90" s="53" t="b">
        <f t="shared" si="33"/>
        <v>0</v>
      </c>
      <c r="AT90" s="53" t="b">
        <f t="shared" si="34"/>
        <v>0</v>
      </c>
      <c r="AU90" s="53" t="b">
        <f t="shared" si="35"/>
        <v>0</v>
      </c>
      <c r="AV90" s="54"/>
      <c r="AW90" s="9"/>
      <c r="AX90" s="9"/>
      <c r="AY90" s="9"/>
    </row>
    <row r="91" spans="1:51" x14ac:dyDescent="0.25">
      <c r="A91" s="15"/>
      <c r="B91" s="15"/>
      <c r="C91" s="16"/>
      <c r="D91" s="16"/>
      <c r="E91" s="16"/>
      <c r="F91" s="17"/>
      <c r="G91" s="18"/>
      <c r="H91" s="18"/>
      <c r="I91" s="37" t="str">
        <f ca="1">IF(H91="","",VLOOKUP(H91,WeightClasses!$A$2:$E$18,IF(LEFT(G91,1)="F",IF(YEAR(TODAY())-F91&lt;24,4,2),IF(YEAR(TODAY())-F91&lt;24,5,3)),TRUE))</f>
        <v/>
      </c>
      <c r="J91" s="19"/>
      <c r="K91" s="38"/>
      <c r="L91" s="19"/>
      <c r="M91" s="38"/>
      <c r="N91" s="19"/>
      <c r="O91" s="38"/>
      <c r="P91" s="39" t="str">
        <f t="shared" si="36"/>
        <v/>
      </c>
      <c r="Q91" s="19"/>
      <c r="R91" s="38"/>
      <c r="S91" s="19"/>
      <c r="T91" s="38"/>
      <c r="U91" s="19"/>
      <c r="V91" s="38"/>
      <c r="W91" s="39" t="str">
        <f t="shared" si="20"/>
        <v/>
      </c>
      <c r="X91" s="19"/>
      <c r="Y91" s="38"/>
      <c r="Z91" s="19"/>
      <c r="AA91" s="38"/>
      <c r="AB91" s="19"/>
      <c r="AC91" s="38"/>
      <c r="AD91" s="39" t="str">
        <f t="shared" si="21"/>
        <v/>
      </c>
      <c r="AE91" s="40" t="str">
        <f t="shared" si="22"/>
        <v/>
      </c>
      <c r="AF91" s="48" t="str">
        <f t="shared" si="37"/>
        <v/>
      </c>
      <c r="AG91" s="52">
        <f>IF(OR(H91="",H91=0),0, ROUND(100/(VLOOKUP($G91,'IPF GL Formula'!$A$4:$F$11,3,FALSE)-VLOOKUP($G91,'IPF GL Formula'!$A$4:$F$11,4,FALSE)*EXP(-VLOOKUP($G91,'IPF GL Formula'!$A$4:$F$11,5,FALSE)*H91)),6))</f>
        <v>0</v>
      </c>
      <c r="AH91" s="9"/>
      <c r="AI91" s="57" t="b">
        <f t="shared" si="23"/>
        <v>0</v>
      </c>
      <c r="AJ91" s="57" t="b">
        <f t="shared" si="24"/>
        <v>0</v>
      </c>
      <c r="AK91" s="57" t="b">
        <f t="shared" si="25"/>
        <v>0</v>
      </c>
      <c r="AL91" s="57" t="b">
        <f t="shared" si="26"/>
        <v>0</v>
      </c>
      <c r="AM91" s="57" t="b">
        <f t="shared" si="27"/>
        <v>0</v>
      </c>
      <c r="AN91" s="57" t="b">
        <f t="shared" si="28"/>
        <v>0</v>
      </c>
      <c r="AO91" s="57" t="b">
        <f t="shared" si="29"/>
        <v>0</v>
      </c>
      <c r="AP91" s="57" t="b">
        <f t="shared" si="30"/>
        <v>0</v>
      </c>
      <c r="AQ91" s="57" t="b">
        <f t="shared" si="31"/>
        <v>0</v>
      </c>
      <c r="AR91" s="53" t="b">
        <f t="shared" si="32"/>
        <v>0</v>
      </c>
      <c r="AS91" s="53" t="b">
        <f t="shared" si="33"/>
        <v>0</v>
      </c>
      <c r="AT91" s="53" t="b">
        <f t="shared" si="34"/>
        <v>0</v>
      </c>
      <c r="AU91" s="53" t="b">
        <f t="shared" si="35"/>
        <v>0</v>
      </c>
      <c r="AV91" s="54"/>
      <c r="AW91" s="9"/>
      <c r="AX91" s="9"/>
      <c r="AY91" s="9"/>
    </row>
    <row r="92" spans="1:51" x14ac:dyDescent="0.25">
      <c r="A92" s="15"/>
      <c r="B92" s="15"/>
      <c r="C92" s="16"/>
      <c r="D92" s="16"/>
      <c r="E92" s="16"/>
      <c r="F92" s="17"/>
      <c r="G92" s="18"/>
      <c r="H92" s="18"/>
      <c r="I92" s="37" t="str">
        <f ca="1">IF(H92="","",VLOOKUP(H92,WeightClasses!$A$2:$E$18,IF(LEFT(G92,1)="F",IF(YEAR(TODAY())-F92&lt;24,4,2),IF(YEAR(TODAY())-F92&lt;24,5,3)),TRUE))</f>
        <v/>
      </c>
      <c r="J92" s="19"/>
      <c r="K92" s="38"/>
      <c r="L92" s="19"/>
      <c r="M92" s="38"/>
      <c r="N92" s="19"/>
      <c r="O92" s="38"/>
      <c r="P92" s="39" t="str">
        <f t="shared" si="36"/>
        <v/>
      </c>
      <c r="Q92" s="19"/>
      <c r="R92" s="38"/>
      <c r="S92" s="19"/>
      <c r="T92" s="38"/>
      <c r="U92" s="19"/>
      <c r="V92" s="38"/>
      <c r="W92" s="39" t="str">
        <f t="shared" si="20"/>
        <v/>
      </c>
      <c r="X92" s="19"/>
      <c r="Y92" s="38"/>
      <c r="Z92" s="19"/>
      <c r="AA92" s="38"/>
      <c r="AB92" s="19"/>
      <c r="AC92" s="38"/>
      <c r="AD92" s="39" t="str">
        <f t="shared" si="21"/>
        <v/>
      </c>
      <c r="AE92" s="40" t="str">
        <f t="shared" si="22"/>
        <v/>
      </c>
      <c r="AF92" s="48" t="str">
        <f t="shared" si="37"/>
        <v/>
      </c>
      <c r="AG92" s="52">
        <f>IF(OR(H92="",H92=0),0, ROUND(100/(VLOOKUP($G92,'IPF GL Formula'!$A$4:$F$11,3,FALSE)-VLOOKUP($G92,'IPF GL Formula'!$A$4:$F$11,4,FALSE)*EXP(-VLOOKUP($G92,'IPF GL Formula'!$A$4:$F$11,5,FALSE)*H92)),6))</f>
        <v>0</v>
      </c>
      <c r="AH92" s="9"/>
      <c r="AI92" s="57" t="b">
        <f t="shared" si="23"/>
        <v>0</v>
      </c>
      <c r="AJ92" s="57" t="b">
        <f t="shared" si="24"/>
        <v>0</v>
      </c>
      <c r="AK92" s="57" t="b">
        <f t="shared" si="25"/>
        <v>0</v>
      </c>
      <c r="AL92" s="57" t="b">
        <f t="shared" si="26"/>
        <v>0</v>
      </c>
      <c r="AM92" s="57" t="b">
        <f t="shared" si="27"/>
        <v>0</v>
      </c>
      <c r="AN92" s="57" t="b">
        <f t="shared" si="28"/>
        <v>0</v>
      </c>
      <c r="AO92" s="57" t="b">
        <f t="shared" si="29"/>
        <v>0</v>
      </c>
      <c r="AP92" s="57" t="b">
        <f t="shared" si="30"/>
        <v>0</v>
      </c>
      <c r="AQ92" s="57" t="b">
        <f t="shared" si="31"/>
        <v>0</v>
      </c>
      <c r="AR92" s="53" t="b">
        <f t="shared" si="32"/>
        <v>0</v>
      </c>
      <c r="AS92" s="53" t="b">
        <f t="shared" si="33"/>
        <v>0</v>
      </c>
      <c r="AT92" s="53" t="b">
        <f t="shared" si="34"/>
        <v>0</v>
      </c>
      <c r="AU92" s="53" t="b">
        <f t="shared" si="35"/>
        <v>0</v>
      </c>
      <c r="AV92" s="54"/>
      <c r="AW92" s="9"/>
      <c r="AX92" s="9"/>
      <c r="AY92" s="9"/>
    </row>
    <row r="93" spans="1:51" x14ac:dyDescent="0.25">
      <c r="A93" s="15"/>
      <c r="B93" s="15"/>
      <c r="C93" s="16"/>
      <c r="D93" s="16"/>
      <c r="E93" s="16"/>
      <c r="F93" s="17"/>
      <c r="G93" s="18"/>
      <c r="H93" s="18"/>
      <c r="I93" s="37" t="str">
        <f ca="1">IF(H93="","",VLOOKUP(H93,WeightClasses!$A$2:$E$18,IF(LEFT(G93,1)="F",IF(YEAR(TODAY())-F93&lt;24,4,2),IF(YEAR(TODAY())-F93&lt;24,5,3)),TRUE))</f>
        <v/>
      </c>
      <c r="J93" s="19"/>
      <c r="K93" s="38"/>
      <c r="L93" s="19"/>
      <c r="M93" s="38"/>
      <c r="N93" s="19"/>
      <c r="O93" s="38"/>
      <c r="P93" s="39" t="str">
        <f t="shared" si="36"/>
        <v/>
      </c>
      <c r="Q93" s="19"/>
      <c r="R93" s="38"/>
      <c r="S93" s="19"/>
      <c r="T93" s="38"/>
      <c r="U93" s="19"/>
      <c r="V93" s="38"/>
      <c r="W93" s="39" t="str">
        <f t="shared" si="20"/>
        <v/>
      </c>
      <c r="X93" s="19"/>
      <c r="Y93" s="38"/>
      <c r="Z93" s="19"/>
      <c r="AA93" s="38"/>
      <c r="AB93" s="19"/>
      <c r="AC93" s="38"/>
      <c r="AD93" s="39" t="str">
        <f t="shared" si="21"/>
        <v/>
      </c>
      <c r="AE93" s="40" t="str">
        <f t="shared" si="22"/>
        <v/>
      </c>
      <c r="AF93" s="48" t="str">
        <f t="shared" si="37"/>
        <v/>
      </c>
      <c r="AG93" s="52">
        <f>IF(OR(H93="",H93=0),0, ROUND(100/(VLOOKUP($G93,'IPF GL Formula'!$A$4:$F$11,3,FALSE)-VLOOKUP($G93,'IPF GL Formula'!$A$4:$F$11,4,FALSE)*EXP(-VLOOKUP($G93,'IPF GL Formula'!$A$4:$F$11,5,FALSE)*H93)),6))</f>
        <v>0</v>
      </c>
      <c r="AH93" s="9"/>
      <c r="AI93" s="57" t="b">
        <f t="shared" si="23"/>
        <v>0</v>
      </c>
      <c r="AJ93" s="57" t="b">
        <f t="shared" si="24"/>
        <v>0</v>
      </c>
      <c r="AK93" s="57" t="b">
        <f t="shared" si="25"/>
        <v>0</v>
      </c>
      <c r="AL93" s="57" t="b">
        <f t="shared" si="26"/>
        <v>0</v>
      </c>
      <c r="AM93" s="57" t="b">
        <f t="shared" si="27"/>
        <v>0</v>
      </c>
      <c r="AN93" s="57" t="b">
        <f t="shared" si="28"/>
        <v>0</v>
      </c>
      <c r="AO93" s="57" t="b">
        <f t="shared" si="29"/>
        <v>0</v>
      </c>
      <c r="AP93" s="57" t="b">
        <f t="shared" si="30"/>
        <v>0</v>
      </c>
      <c r="AQ93" s="57" t="b">
        <f t="shared" si="31"/>
        <v>0</v>
      </c>
      <c r="AR93" s="53" t="b">
        <f t="shared" si="32"/>
        <v>0</v>
      </c>
      <c r="AS93" s="53" t="b">
        <f t="shared" si="33"/>
        <v>0</v>
      </c>
      <c r="AT93" s="53" t="b">
        <f t="shared" si="34"/>
        <v>0</v>
      </c>
      <c r="AU93" s="53" t="b">
        <f t="shared" si="35"/>
        <v>0</v>
      </c>
      <c r="AV93" s="54"/>
      <c r="AW93" s="9"/>
      <c r="AX93" s="9"/>
      <c r="AY93" s="9"/>
    </row>
    <row r="94" spans="1:51" x14ac:dyDescent="0.25">
      <c r="A94" s="15"/>
      <c r="B94" s="15"/>
      <c r="C94" s="16"/>
      <c r="D94" s="16"/>
      <c r="E94" s="16"/>
      <c r="F94" s="17"/>
      <c r="G94" s="18"/>
      <c r="H94" s="18"/>
      <c r="I94" s="37" t="str">
        <f ca="1">IF(H94="","",VLOOKUP(H94,WeightClasses!$A$2:$E$18,IF(LEFT(G94,1)="F",IF(YEAR(TODAY())-F94&lt;24,4,2),IF(YEAR(TODAY())-F94&lt;24,5,3)),TRUE))</f>
        <v/>
      </c>
      <c r="J94" s="19"/>
      <c r="K94" s="38"/>
      <c r="L94" s="19"/>
      <c r="M94" s="38"/>
      <c r="N94" s="19"/>
      <c r="O94" s="38"/>
      <c r="P94" s="39" t="str">
        <f t="shared" si="36"/>
        <v/>
      </c>
      <c r="Q94" s="19"/>
      <c r="R94" s="38"/>
      <c r="S94" s="19"/>
      <c r="T94" s="38"/>
      <c r="U94" s="19"/>
      <c r="V94" s="38"/>
      <c r="W94" s="39" t="str">
        <f t="shared" si="20"/>
        <v/>
      </c>
      <c r="X94" s="19"/>
      <c r="Y94" s="38"/>
      <c r="Z94" s="19"/>
      <c r="AA94" s="38"/>
      <c r="AB94" s="19"/>
      <c r="AC94" s="38"/>
      <c r="AD94" s="39" t="str">
        <f t="shared" si="21"/>
        <v/>
      </c>
      <c r="AE94" s="40" t="str">
        <f t="shared" si="22"/>
        <v/>
      </c>
      <c r="AF94" s="48" t="str">
        <f t="shared" si="37"/>
        <v/>
      </c>
      <c r="AG94" s="52">
        <f>IF(OR(H94="",H94=0),0, ROUND(100/(VLOOKUP($G94,'IPF GL Formula'!$A$4:$F$11,3,FALSE)-VLOOKUP($G94,'IPF GL Formula'!$A$4:$F$11,4,FALSE)*EXP(-VLOOKUP($G94,'IPF GL Formula'!$A$4:$F$11,5,FALSE)*H94)),6))</f>
        <v>0</v>
      </c>
      <c r="AH94" s="9"/>
      <c r="AI94" s="57" t="b">
        <f t="shared" si="23"/>
        <v>0</v>
      </c>
      <c r="AJ94" s="57" t="b">
        <f t="shared" si="24"/>
        <v>0</v>
      </c>
      <c r="AK94" s="57" t="b">
        <f t="shared" si="25"/>
        <v>0</v>
      </c>
      <c r="AL94" s="57" t="b">
        <f t="shared" si="26"/>
        <v>0</v>
      </c>
      <c r="AM94" s="57" t="b">
        <f t="shared" si="27"/>
        <v>0</v>
      </c>
      <c r="AN94" s="57" t="b">
        <f t="shared" si="28"/>
        <v>0</v>
      </c>
      <c r="AO94" s="57" t="b">
        <f t="shared" si="29"/>
        <v>0</v>
      </c>
      <c r="AP94" s="57" t="b">
        <f t="shared" si="30"/>
        <v>0</v>
      </c>
      <c r="AQ94" s="57" t="b">
        <f t="shared" si="31"/>
        <v>0</v>
      </c>
      <c r="AR94" s="53" t="b">
        <f t="shared" si="32"/>
        <v>0</v>
      </c>
      <c r="AS94" s="53" t="b">
        <f t="shared" si="33"/>
        <v>0</v>
      </c>
      <c r="AT94" s="53" t="b">
        <f t="shared" si="34"/>
        <v>0</v>
      </c>
      <c r="AU94" s="53" t="b">
        <f t="shared" si="35"/>
        <v>0</v>
      </c>
      <c r="AV94" s="54"/>
      <c r="AW94" s="9"/>
      <c r="AX94" s="9"/>
      <c r="AY94" s="9"/>
    </row>
    <row r="95" spans="1:51" x14ac:dyDescent="0.25">
      <c r="A95" s="15"/>
      <c r="B95" s="15"/>
      <c r="C95" s="16"/>
      <c r="D95" s="16"/>
      <c r="E95" s="16"/>
      <c r="F95" s="17"/>
      <c r="G95" s="18"/>
      <c r="H95" s="18"/>
      <c r="I95" s="37" t="str">
        <f ca="1">IF(H95="","",VLOOKUP(H95,WeightClasses!$A$2:$E$18,IF(LEFT(G95,1)="F",IF(YEAR(TODAY())-F95&lt;24,4,2),IF(YEAR(TODAY())-F95&lt;24,5,3)),TRUE))</f>
        <v/>
      </c>
      <c r="J95" s="19"/>
      <c r="K95" s="38"/>
      <c r="L95" s="19"/>
      <c r="M95" s="38"/>
      <c r="N95" s="19"/>
      <c r="O95" s="38"/>
      <c r="P95" s="39" t="str">
        <f t="shared" si="36"/>
        <v/>
      </c>
      <c r="Q95" s="19"/>
      <c r="R95" s="38"/>
      <c r="S95" s="19"/>
      <c r="T95" s="38"/>
      <c r="U95" s="19"/>
      <c r="V95" s="38"/>
      <c r="W95" s="39" t="str">
        <f t="shared" si="20"/>
        <v/>
      </c>
      <c r="X95" s="19"/>
      <c r="Y95" s="38"/>
      <c r="Z95" s="19"/>
      <c r="AA95" s="38"/>
      <c r="AB95" s="19"/>
      <c r="AC95" s="38"/>
      <c r="AD95" s="39" t="str">
        <f t="shared" si="21"/>
        <v/>
      </c>
      <c r="AE95" s="40" t="str">
        <f t="shared" si="22"/>
        <v/>
      </c>
      <c r="AF95" s="48" t="str">
        <f t="shared" si="37"/>
        <v/>
      </c>
      <c r="AG95" s="52">
        <f>IF(OR(H95="",H95=0),0, ROUND(100/(VLOOKUP($G95,'IPF GL Formula'!$A$4:$F$11,3,FALSE)-VLOOKUP($G95,'IPF GL Formula'!$A$4:$F$11,4,FALSE)*EXP(-VLOOKUP($G95,'IPF GL Formula'!$A$4:$F$11,5,FALSE)*H95)),6))</f>
        <v>0</v>
      </c>
      <c r="AH95" s="9"/>
      <c r="AI95" s="57" t="b">
        <f t="shared" si="23"/>
        <v>0</v>
      </c>
      <c r="AJ95" s="57" t="b">
        <f t="shared" si="24"/>
        <v>0</v>
      </c>
      <c r="AK95" s="57" t="b">
        <f t="shared" si="25"/>
        <v>0</v>
      </c>
      <c r="AL95" s="57" t="b">
        <f t="shared" si="26"/>
        <v>0</v>
      </c>
      <c r="AM95" s="57" t="b">
        <f t="shared" si="27"/>
        <v>0</v>
      </c>
      <c r="AN95" s="57" t="b">
        <f t="shared" si="28"/>
        <v>0</v>
      </c>
      <c r="AO95" s="57" t="b">
        <f t="shared" si="29"/>
        <v>0</v>
      </c>
      <c r="AP95" s="57" t="b">
        <f t="shared" si="30"/>
        <v>0</v>
      </c>
      <c r="AQ95" s="57" t="b">
        <f t="shared" si="31"/>
        <v>0</v>
      </c>
      <c r="AR95" s="53" t="b">
        <f t="shared" si="32"/>
        <v>0</v>
      </c>
      <c r="AS95" s="53" t="b">
        <f t="shared" si="33"/>
        <v>0</v>
      </c>
      <c r="AT95" s="53" t="b">
        <f t="shared" si="34"/>
        <v>0</v>
      </c>
      <c r="AU95" s="53" t="b">
        <f t="shared" si="35"/>
        <v>0</v>
      </c>
      <c r="AV95" s="54"/>
      <c r="AW95" s="9"/>
      <c r="AX95" s="9"/>
      <c r="AY95" s="9"/>
    </row>
    <row r="96" spans="1:51" x14ac:dyDescent="0.25">
      <c r="A96" s="15"/>
      <c r="B96" s="15"/>
      <c r="C96" s="16"/>
      <c r="D96" s="16"/>
      <c r="E96" s="16"/>
      <c r="F96" s="17"/>
      <c r="G96" s="18"/>
      <c r="H96" s="18"/>
      <c r="I96" s="37" t="str">
        <f ca="1">IF(H96="","",VLOOKUP(H96,WeightClasses!$A$2:$E$18,IF(LEFT(G96,1)="F",IF(YEAR(TODAY())-F96&lt;24,4,2),IF(YEAR(TODAY())-F96&lt;24,5,3)),TRUE))</f>
        <v/>
      </c>
      <c r="J96" s="19"/>
      <c r="K96" s="38"/>
      <c r="L96" s="19"/>
      <c r="M96" s="38"/>
      <c r="N96" s="19"/>
      <c r="O96" s="38"/>
      <c r="P96" s="39" t="str">
        <f t="shared" si="36"/>
        <v/>
      </c>
      <c r="Q96" s="19"/>
      <c r="R96" s="38"/>
      <c r="S96" s="19"/>
      <c r="T96" s="38"/>
      <c r="U96" s="19"/>
      <c r="V96" s="38"/>
      <c r="W96" s="39" t="str">
        <f t="shared" si="20"/>
        <v/>
      </c>
      <c r="X96" s="19"/>
      <c r="Y96" s="38"/>
      <c r="Z96" s="19"/>
      <c r="AA96" s="38"/>
      <c r="AB96" s="19"/>
      <c r="AC96" s="38"/>
      <c r="AD96" s="39" t="str">
        <f t="shared" si="21"/>
        <v/>
      </c>
      <c r="AE96" s="40" t="str">
        <f t="shared" si="22"/>
        <v/>
      </c>
      <c r="AF96" s="48" t="str">
        <f t="shared" si="37"/>
        <v/>
      </c>
      <c r="AG96" s="52">
        <f>IF(OR(H96="",H96=0),0, ROUND(100/(VLOOKUP($G96,'IPF GL Formula'!$A$4:$F$11,3,FALSE)-VLOOKUP($G96,'IPF GL Formula'!$A$4:$F$11,4,FALSE)*EXP(-VLOOKUP($G96,'IPF GL Formula'!$A$4:$F$11,5,FALSE)*H96)),6))</f>
        <v>0</v>
      </c>
      <c r="AH96" s="9"/>
      <c r="AI96" s="57" t="b">
        <f t="shared" si="23"/>
        <v>0</v>
      </c>
      <c r="AJ96" s="57" t="b">
        <f t="shared" si="24"/>
        <v>0</v>
      </c>
      <c r="AK96" s="57" t="b">
        <f t="shared" si="25"/>
        <v>0</v>
      </c>
      <c r="AL96" s="57" t="b">
        <f t="shared" si="26"/>
        <v>0</v>
      </c>
      <c r="AM96" s="57" t="b">
        <f t="shared" si="27"/>
        <v>0</v>
      </c>
      <c r="AN96" s="57" t="b">
        <f t="shared" si="28"/>
        <v>0</v>
      </c>
      <c r="AO96" s="57" t="b">
        <f t="shared" si="29"/>
        <v>0</v>
      </c>
      <c r="AP96" s="57" t="b">
        <f t="shared" si="30"/>
        <v>0</v>
      </c>
      <c r="AQ96" s="57" t="b">
        <f t="shared" si="31"/>
        <v>0</v>
      </c>
      <c r="AR96" s="53" t="b">
        <f t="shared" si="32"/>
        <v>0</v>
      </c>
      <c r="AS96" s="53" t="b">
        <f t="shared" si="33"/>
        <v>0</v>
      </c>
      <c r="AT96" s="53" t="b">
        <f t="shared" si="34"/>
        <v>0</v>
      </c>
      <c r="AU96" s="53" t="b">
        <f t="shared" si="35"/>
        <v>0</v>
      </c>
      <c r="AV96" s="54"/>
      <c r="AW96" s="9"/>
      <c r="AX96" s="9"/>
      <c r="AY96" s="9"/>
    </row>
    <row r="97" spans="1:51" x14ac:dyDescent="0.25">
      <c r="A97" s="15"/>
      <c r="B97" s="15"/>
      <c r="C97" s="16"/>
      <c r="D97" s="16"/>
      <c r="E97" s="16"/>
      <c r="F97" s="17"/>
      <c r="G97" s="18"/>
      <c r="H97" s="18"/>
      <c r="I97" s="37" t="str">
        <f ca="1">IF(H97="","",VLOOKUP(H97,WeightClasses!$A$2:$E$18,IF(LEFT(G97,1)="F",IF(YEAR(TODAY())-F97&lt;24,4,2),IF(YEAR(TODAY())-F97&lt;24,5,3)),TRUE))</f>
        <v/>
      </c>
      <c r="J97" s="19"/>
      <c r="K97" s="38"/>
      <c r="L97" s="19"/>
      <c r="M97" s="38"/>
      <c r="N97" s="19"/>
      <c r="O97" s="38"/>
      <c r="P97" s="39" t="str">
        <f t="shared" si="36"/>
        <v/>
      </c>
      <c r="Q97" s="19"/>
      <c r="R97" s="38"/>
      <c r="S97" s="19"/>
      <c r="T97" s="38"/>
      <c r="U97" s="19"/>
      <c r="V97" s="38"/>
      <c r="W97" s="39" t="str">
        <f t="shared" si="20"/>
        <v/>
      </c>
      <c r="X97" s="19"/>
      <c r="Y97" s="38"/>
      <c r="Z97" s="19"/>
      <c r="AA97" s="38"/>
      <c r="AB97" s="19"/>
      <c r="AC97" s="38"/>
      <c r="AD97" s="39" t="str">
        <f t="shared" si="21"/>
        <v/>
      </c>
      <c r="AE97" s="40" t="str">
        <f t="shared" si="22"/>
        <v/>
      </c>
      <c r="AF97" s="48" t="str">
        <f t="shared" si="37"/>
        <v/>
      </c>
      <c r="AG97" s="52">
        <f>IF(OR(H97="",H97=0),0, ROUND(100/(VLOOKUP($G97,'IPF GL Formula'!$A$4:$F$11,3,FALSE)-VLOOKUP($G97,'IPF GL Formula'!$A$4:$F$11,4,FALSE)*EXP(-VLOOKUP($G97,'IPF GL Formula'!$A$4:$F$11,5,FALSE)*H97)),6))</f>
        <v>0</v>
      </c>
      <c r="AH97" s="9"/>
      <c r="AI97" s="57" t="b">
        <f t="shared" si="23"/>
        <v>0</v>
      </c>
      <c r="AJ97" s="57" t="b">
        <f t="shared" si="24"/>
        <v>0</v>
      </c>
      <c r="AK97" s="57" t="b">
        <f t="shared" si="25"/>
        <v>0</v>
      </c>
      <c r="AL97" s="57" t="b">
        <f t="shared" si="26"/>
        <v>0</v>
      </c>
      <c r="AM97" s="57" t="b">
        <f t="shared" si="27"/>
        <v>0</v>
      </c>
      <c r="AN97" s="57" t="b">
        <f t="shared" si="28"/>
        <v>0</v>
      </c>
      <c r="AO97" s="57" t="b">
        <f t="shared" si="29"/>
        <v>0</v>
      </c>
      <c r="AP97" s="57" t="b">
        <f t="shared" si="30"/>
        <v>0</v>
      </c>
      <c r="AQ97" s="57" t="b">
        <f t="shared" si="31"/>
        <v>0</v>
      </c>
      <c r="AR97" s="53" t="b">
        <f t="shared" si="32"/>
        <v>0</v>
      </c>
      <c r="AS97" s="53" t="b">
        <f t="shared" si="33"/>
        <v>0</v>
      </c>
      <c r="AT97" s="53" t="b">
        <f t="shared" si="34"/>
        <v>0</v>
      </c>
      <c r="AU97" s="53" t="b">
        <f t="shared" si="35"/>
        <v>0</v>
      </c>
      <c r="AV97" s="54"/>
      <c r="AW97" s="9"/>
      <c r="AX97" s="9"/>
      <c r="AY97" s="9"/>
    </row>
    <row r="98" spans="1:51" x14ac:dyDescent="0.25">
      <c r="A98" s="15"/>
      <c r="B98" s="15"/>
      <c r="C98" s="16"/>
      <c r="D98" s="16"/>
      <c r="E98" s="16"/>
      <c r="F98" s="17"/>
      <c r="G98" s="18"/>
      <c r="H98" s="18"/>
      <c r="I98" s="37" t="str">
        <f ca="1">IF(H98="","",VLOOKUP(H98,WeightClasses!$A$2:$E$18,IF(LEFT(G98,1)="F",IF(YEAR(TODAY())-F98&lt;24,4,2),IF(YEAR(TODAY())-F98&lt;24,5,3)),TRUE))</f>
        <v/>
      </c>
      <c r="J98" s="19"/>
      <c r="K98" s="38"/>
      <c r="L98" s="19"/>
      <c r="M98" s="38"/>
      <c r="N98" s="19"/>
      <c r="O98" s="38"/>
      <c r="P98" s="39" t="str">
        <f t="shared" si="36"/>
        <v/>
      </c>
      <c r="Q98" s="19"/>
      <c r="R98" s="38"/>
      <c r="S98" s="19"/>
      <c r="T98" s="38"/>
      <c r="U98" s="19"/>
      <c r="V98" s="38"/>
      <c r="W98" s="39" t="str">
        <f t="shared" si="20"/>
        <v/>
      </c>
      <c r="X98" s="19"/>
      <c r="Y98" s="38"/>
      <c r="Z98" s="19"/>
      <c r="AA98" s="38"/>
      <c r="AB98" s="19"/>
      <c r="AC98" s="38"/>
      <c r="AD98" s="39" t="str">
        <f t="shared" si="21"/>
        <v/>
      </c>
      <c r="AE98" s="40" t="str">
        <f t="shared" si="22"/>
        <v/>
      </c>
      <c r="AF98" s="48" t="str">
        <f t="shared" si="37"/>
        <v/>
      </c>
      <c r="AG98" s="52">
        <f>IF(OR(H98="",H98=0),0, ROUND(100/(VLOOKUP($G98,'IPF GL Formula'!$A$4:$F$11,3,FALSE)-VLOOKUP($G98,'IPF GL Formula'!$A$4:$F$11,4,FALSE)*EXP(-VLOOKUP($G98,'IPF GL Formula'!$A$4:$F$11,5,FALSE)*H98)),6))</f>
        <v>0</v>
      </c>
      <c r="AH98" s="9"/>
      <c r="AI98" s="57" t="b">
        <f t="shared" si="23"/>
        <v>0</v>
      </c>
      <c r="AJ98" s="57" t="b">
        <f t="shared" si="24"/>
        <v>0</v>
      </c>
      <c r="AK98" s="57" t="b">
        <f t="shared" si="25"/>
        <v>0</v>
      </c>
      <c r="AL98" s="57" t="b">
        <f t="shared" si="26"/>
        <v>0</v>
      </c>
      <c r="AM98" s="57" t="b">
        <f t="shared" si="27"/>
        <v>0</v>
      </c>
      <c r="AN98" s="57" t="b">
        <f t="shared" si="28"/>
        <v>0</v>
      </c>
      <c r="AO98" s="57" t="b">
        <f t="shared" si="29"/>
        <v>0</v>
      </c>
      <c r="AP98" s="57" t="b">
        <f t="shared" si="30"/>
        <v>0</v>
      </c>
      <c r="AQ98" s="57" t="b">
        <f t="shared" si="31"/>
        <v>0</v>
      </c>
      <c r="AR98" s="53" t="b">
        <f t="shared" si="32"/>
        <v>0</v>
      </c>
      <c r="AS98" s="53" t="b">
        <f t="shared" si="33"/>
        <v>0</v>
      </c>
      <c r="AT98" s="53" t="b">
        <f t="shared" si="34"/>
        <v>0</v>
      </c>
      <c r="AU98" s="53" t="b">
        <f t="shared" si="35"/>
        <v>0</v>
      </c>
      <c r="AV98" s="54"/>
      <c r="AW98" s="9"/>
      <c r="AX98" s="9"/>
      <c r="AY98" s="9"/>
    </row>
    <row r="99" spans="1:51" x14ac:dyDescent="0.25">
      <c r="A99" s="15"/>
      <c r="B99" s="15"/>
      <c r="C99" s="16"/>
      <c r="D99" s="16"/>
      <c r="E99" s="16"/>
      <c r="F99" s="17"/>
      <c r="G99" s="18"/>
      <c r="H99" s="18"/>
      <c r="I99" s="37" t="str">
        <f ca="1">IF(H99="","",VLOOKUP(H99,WeightClasses!$A$2:$E$18,IF(LEFT(G99,1)="F",IF(YEAR(TODAY())-F99&lt;24,4,2),IF(YEAR(TODAY())-F99&lt;24,5,3)),TRUE))</f>
        <v/>
      </c>
      <c r="J99" s="19"/>
      <c r="K99" s="38"/>
      <c r="L99" s="19"/>
      <c r="M99" s="38"/>
      <c r="N99" s="19"/>
      <c r="O99" s="38"/>
      <c r="P99" s="39" t="str">
        <f t="shared" si="36"/>
        <v/>
      </c>
      <c r="Q99" s="19"/>
      <c r="R99" s="38"/>
      <c r="S99" s="19"/>
      <c r="T99" s="38"/>
      <c r="U99" s="19"/>
      <c r="V99" s="38"/>
      <c r="W99" s="39" t="str">
        <f t="shared" si="20"/>
        <v/>
      </c>
      <c r="X99" s="19"/>
      <c r="Y99" s="38"/>
      <c r="Z99" s="19"/>
      <c r="AA99" s="38"/>
      <c r="AB99" s="19"/>
      <c r="AC99" s="38"/>
      <c r="AD99" s="39" t="str">
        <f t="shared" si="21"/>
        <v/>
      </c>
      <c r="AE99" s="40" t="str">
        <f t="shared" si="22"/>
        <v/>
      </c>
      <c r="AF99" s="48" t="str">
        <f t="shared" si="37"/>
        <v/>
      </c>
      <c r="AG99" s="52">
        <f>IF(OR(H99="",H99=0),0, ROUND(100/(VLOOKUP($G99,'IPF GL Formula'!$A$4:$F$11,3,FALSE)-VLOOKUP($G99,'IPF GL Formula'!$A$4:$F$11,4,FALSE)*EXP(-VLOOKUP($G99,'IPF GL Formula'!$A$4:$F$11,5,FALSE)*H99)),6))</f>
        <v>0</v>
      </c>
      <c r="AH99" s="9"/>
      <c r="AI99" s="57" t="b">
        <f t="shared" si="23"/>
        <v>0</v>
      </c>
      <c r="AJ99" s="57" t="b">
        <f t="shared" si="24"/>
        <v>0</v>
      </c>
      <c r="AK99" s="57" t="b">
        <f t="shared" si="25"/>
        <v>0</v>
      </c>
      <c r="AL99" s="57" t="b">
        <f t="shared" si="26"/>
        <v>0</v>
      </c>
      <c r="AM99" s="57" t="b">
        <f t="shared" si="27"/>
        <v>0</v>
      </c>
      <c r="AN99" s="57" t="b">
        <f t="shared" si="28"/>
        <v>0</v>
      </c>
      <c r="AO99" s="57" t="b">
        <f t="shared" si="29"/>
        <v>0</v>
      </c>
      <c r="AP99" s="57" t="b">
        <f t="shared" si="30"/>
        <v>0</v>
      </c>
      <c r="AQ99" s="57" t="b">
        <f t="shared" si="31"/>
        <v>0</v>
      </c>
      <c r="AR99" s="53" t="b">
        <f t="shared" si="32"/>
        <v>0</v>
      </c>
      <c r="AS99" s="53" t="b">
        <f t="shared" si="33"/>
        <v>0</v>
      </c>
      <c r="AT99" s="53" t="b">
        <f t="shared" si="34"/>
        <v>0</v>
      </c>
      <c r="AU99" s="53" t="b">
        <f t="shared" si="35"/>
        <v>0</v>
      </c>
      <c r="AV99" s="54"/>
      <c r="AW99" s="9"/>
      <c r="AX99" s="9"/>
      <c r="AY99" s="9"/>
    </row>
    <row r="100" spans="1:51" x14ac:dyDescent="0.25">
      <c r="A100" s="15"/>
      <c r="B100" s="15"/>
      <c r="C100" s="16"/>
      <c r="D100" s="16"/>
      <c r="E100" s="16"/>
      <c r="F100" s="17"/>
      <c r="G100" s="18"/>
      <c r="H100" s="18"/>
      <c r="I100" s="37" t="str">
        <f ca="1">IF(H100="","",VLOOKUP(H100,WeightClasses!$A$2:$E$18,IF(LEFT(G100,1)="F",IF(YEAR(TODAY())-F100&lt;24,4,2),IF(YEAR(TODAY())-F100&lt;24,5,3)),TRUE))</f>
        <v/>
      </c>
      <c r="J100" s="19"/>
      <c r="K100" s="38"/>
      <c r="L100" s="19"/>
      <c r="M100" s="38"/>
      <c r="N100" s="19"/>
      <c r="O100" s="38"/>
      <c r="P100" s="39" t="str">
        <f t="shared" si="36"/>
        <v/>
      </c>
      <c r="Q100" s="19"/>
      <c r="R100" s="38"/>
      <c r="S100" s="19"/>
      <c r="T100" s="38"/>
      <c r="U100" s="19"/>
      <c r="V100" s="38"/>
      <c r="W100" s="39" t="str">
        <f t="shared" si="20"/>
        <v/>
      </c>
      <c r="X100" s="19"/>
      <c r="Y100" s="38"/>
      <c r="Z100" s="19"/>
      <c r="AA100" s="38"/>
      <c r="AB100" s="19"/>
      <c r="AC100" s="38"/>
      <c r="AD100" s="39" t="str">
        <f t="shared" si="21"/>
        <v/>
      </c>
      <c r="AE100" s="40" t="str">
        <f t="shared" si="22"/>
        <v/>
      </c>
      <c r="AF100" s="48" t="str">
        <f t="shared" si="37"/>
        <v/>
      </c>
      <c r="AG100" s="52">
        <f>IF(OR(H100="",H100=0),0, ROUND(100/(VLOOKUP($G100,'IPF GL Formula'!$A$4:$F$11,3,FALSE)-VLOOKUP($G100,'IPF GL Formula'!$A$4:$F$11,4,FALSE)*EXP(-VLOOKUP($G100,'IPF GL Formula'!$A$4:$F$11,5,FALSE)*H100)),6))</f>
        <v>0</v>
      </c>
      <c r="AH100" s="9"/>
      <c r="AI100" s="57" t="b">
        <f t="shared" si="23"/>
        <v>0</v>
      </c>
      <c r="AJ100" s="57" t="b">
        <f t="shared" si="24"/>
        <v>0</v>
      </c>
      <c r="AK100" s="57" t="b">
        <f t="shared" si="25"/>
        <v>0</v>
      </c>
      <c r="AL100" s="57" t="b">
        <f t="shared" si="26"/>
        <v>0</v>
      </c>
      <c r="AM100" s="57" t="b">
        <f t="shared" si="27"/>
        <v>0</v>
      </c>
      <c r="AN100" s="57" t="b">
        <f t="shared" si="28"/>
        <v>0</v>
      </c>
      <c r="AO100" s="57" t="b">
        <f t="shared" si="29"/>
        <v>0</v>
      </c>
      <c r="AP100" s="57" t="b">
        <f t="shared" si="30"/>
        <v>0</v>
      </c>
      <c r="AQ100" s="57" t="b">
        <f t="shared" si="31"/>
        <v>0</v>
      </c>
      <c r="AR100" s="53" t="b">
        <f t="shared" si="32"/>
        <v>0</v>
      </c>
      <c r="AS100" s="53" t="b">
        <f t="shared" si="33"/>
        <v>0</v>
      </c>
      <c r="AT100" s="53" t="b">
        <f t="shared" si="34"/>
        <v>0</v>
      </c>
      <c r="AU100" s="53" t="b">
        <f t="shared" si="35"/>
        <v>0</v>
      </c>
      <c r="AV100" s="54"/>
      <c r="AW100" s="9"/>
      <c r="AX100" s="9"/>
      <c r="AY100" s="9"/>
    </row>
    <row r="101" spans="1:51" x14ac:dyDescent="0.25">
      <c r="A101" s="15"/>
      <c r="B101" s="15"/>
      <c r="C101" s="16"/>
      <c r="D101" s="16"/>
      <c r="E101" s="16"/>
      <c r="F101" s="17"/>
      <c r="G101" s="18"/>
      <c r="H101" s="18"/>
      <c r="I101" s="37" t="str">
        <f ca="1">IF(H101="","",VLOOKUP(H101,WeightClasses!$A$2:$E$18,IF(LEFT(G101,1)="F",IF(YEAR(TODAY())-F101&lt;24,4,2),IF(YEAR(TODAY())-F101&lt;24,5,3)),TRUE))</f>
        <v/>
      </c>
      <c r="J101" s="19"/>
      <c r="K101" s="38"/>
      <c r="L101" s="19"/>
      <c r="M101" s="38"/>
      <c r="N101" s="19"/>
      <c r="O101" s="38"/>
      <c r="P101" s="39" t="str">
        <f t="shared" si="36"/>
        <v/>
      </c>
      <c r="Q101" s="19"/>
      <c r="R101" s="38"/>
      <c r="S101" s="19"/>
      <c r="T101" s="38"/>
      <c r="U101" s="19"/>
      <c r="V101" s="38"/>
      <c r="W101" s="39" t="str">
        <f t="shared" si="20"/>
        <v/>
      </c>
      <c r="X101" s="19"/>
      <c r="Y101" s="38"/>
      <c r="Z101" s="19"/>
      <c r="AA101" s="38"/>
      <c r="AB101" s="19"/>
      <c r="AC101" s="38"/>
      <c r="AD101" s="39" t="str">
        <f t="shared" si="21"/>
        <v/>
      </c>
      <c r="AE101" s="40" t="str">
        <f t="shared" si="22"/>
        <v/>
      </c>
      <c r="AF101" s="48" t="str">
        <f t="shared" si="37"/>
        <v/>
      </c>
      <c r="AG101" s="52">
        <f>IF(OR(H101="",H101=0),0, ROUND(100/(VLOOKUP($G101,'IPF GL Formula'!$A$4:$F$11,3,FALSE)-VLOOKUP($G101,'IPF GL Formula'!$A$4:$F$11,4,FALSE)*EXP(-VLOOKUP($G101,'IPF GL Formula'!$A$4:$F$11,5,FALSE)*H101)),6))</f>
        <v>0</v>
      </c>
      <c r="AH101" s="9"/>
      <c r="AI101" s="57" t="b">
        <f t="shared" si="23"/>
        <v>0</v>
      </c>
      <c r="AJ101" s="57" t="b">
        <f t="shared" si="24"/>
        <v>0</v>
      </c>
      <c r="AK101" s="57" t="b">
        <f t="shared" si="25"/>
        <v>0</v>
      </c>
      <c r="AL101" s="57" t="b">
        <f t="shared" si="26"/>
        <v>0</v>
      </c>
      <c r="AM101" s="57" t="b">
        <f t="shared" si="27"/>
        <v>0</v>
      </c>
      <c r="AN101" s="57" t="b">
        <f t="shared" si="28"/>
        <v>0</v>
      </c>
      <c r="AO101" s="57" t="b">
        <f t="shared" si="29"/>
        <v>0</v>
      </c>
      <c r="AP101" s="57" t="b">
        <f t="shared" si="30"/>
        <v>0</v>
      </c>
      <c r="AQ101" s="57" t="b">
        <f t="shared" si="31"/>
        <v>0</v>
      </c>
      <c r="AR101" s="53" t="b">
        <f t="shared" si="32"/>
        <v>0</v>
      </c>
      <c r="AS101" s="53" t="b">
        <f t="shared" si="33"/>
        <v>0</v>
      </c>
      <c r="AT101" s="53" t="b">
        <f t="shared" si="34"/>
        <v>0</v>
      </c>
      <c r="AU101" s="53" t="b">
        <f t="shared" si="35"/>
        <v>0</v>
      </c>
      <c r="AV101" s="54"/>
      <c r="AW101" s="9"/>
      <c r="AX101" s="9"/>
      <c r="AY101" s="9"/>
    </row>
    <row r="102" spans="1:51" x14ac:dyDescent="0.25">
      <c r="A102" s="15"/>
      <c r="B102" s="15"/>
      <c r="C102" s="16"/>
      <c r="D102" s="16"/>
      <c r="E102" s="16"/>
      <c r="F102" s="17"/>
      <c r="G102" s="18"/>
      <c r="H102" s="18"/>
      <c r="I102" s="37" t="str">
        <f ca="1">IF(H102="","",VLOOKUP(H102,WeightClasses!$A$2:$E$18,IF(LEFT(G102,1)="F",IF(YEAR(TODAY())-F102&lt;24,4,2),IF(YEAR(TODAY())-F102&lt;24,5,3)),TRUE))</f>
        <v/>
      </c>
      <c r="J102" s="19"/>
      <c r="K102" s="38"/>
      <c r="L102" s="19"/>
      <c r="M102" s="38"/>
      <c r="N102" s="19"/>
      <c r="O102" s="38"/>
      <c r="P102" s="39" t="str">
        <f t="shared" si="36"/>
        <v/>
      </c>
      <c r="Q102" s="19"/>
      <c r="R102" s="38"/>
      <c r="S102" s="19"/>
      <c r="T102" s="38"/>
      <c r="U102" s="19"/>
      <c r="V102" s="38"/>
      <c r="W102" s="39" t="str">
        <f t="shared" si="20"/>
        <v/>
      </c>
      <c r="X102" s="19"/>
      <c r="Y102" s="38"/>
      <c r="Z102" s="19"/>
      <c r="AA102" s="38"/>
      <c r="AB102" s="19"/>
      <c r="AC102" s="38"/>
      <c r="AD102" s="39" t="str">
        <f t="shared" si="21"/>
        <v/>
      </c>
      <c r="AE102" s="40" t="str">
        <f t="shared" si="22"/>
        <v/>
      </c>
      <c r="AF102" s="48" t="str">
        <f t="shared" si="37"/>
        <v/>
      </c>
      <c r="AG102" s="52">
        <f>IF(OR(H102="",H102=0),0, ROUND(100/(VLOOKUP($G102,'IPF GL Formula'!$A$4:$F$11,3,FALSE)-VLOOKUP($G102,'IPF GL Formula'!$A$4:$F$11,4,FALSE)*EXP(-VLOOKUP($G102,'IPF GL Formula'!$A$4:$F$11,5,FALSE)*H102)),6))</f>
        <v>0</v>
      </c>
      <c r="AH102" s="9"/>
      <c r="AI102" s="57" t="b">
        <f t="shared" si="23"/>
        <v>0</v>
      </c>
      <c r="AJ102" s="57" t="b">
        <f t="shared" si="24"/>
        <v>0</v>
      </c>
      <c r="AK102" s="57" t="b">
        <f t="shared" si="25"/>
        <v>0</v>
      </c>
      <c r="AL102" s="57" t="b">
        <f t="shared" si="26"/>
        <v>0</v>
      </c>
      <c r="AM102" s="57" t="b">
        <f t="shared" si="27"/>
        <v>0</v>
      </c>
      <c r="AN102" s="57" t="b">
        <f t="shared" si="28"/>
        <v>0</v>
      </c>
      <c r="AO102" s="57" t="b">
        <f t="shared" si="29"/>
        <v>0</v>
      </c>
      <c r="AP102" s="57" t="b">
        <f t="shared" si="30"/>
        <v>0</v>
      </c>
      <c r="AQ102" s="57" t="b">
        <f t="shared" si="31"/>
        <v>0</v>
      </c>
      <c r="AR102" s="53" t="b">
        <f t="shared" si="32"/>
        <v>0</v>
      </c>
      <c r="AS102" s="53" t="b">
        <f t="shared" si="33"/>
        <v>0</v>
      </c>
      <c r="AT102" s="53" t="b">
        <f t="shared" si="34"/>
        <v>0</v>
      </c>
      <c r="AU102" s="53" t="b">
        <f t="shared" si="35"/>
        <v>0</v>
      </c>
      <c r="AV102" s="54"/>
      <c r="AW102" s="9"/>
      <c r="AX102" s="9"/>
      <c r="AY102" s="9"/>
    </row>
    <row r="103" spans="1:51" x14ac:dyDescent="0.25">
      <c r="A103" s="15"/>
      <c r="B103" s="15"/>
      <c r="C103" s="16"/>
      <c r="D103" s="16"/>
      <c r="E103" s="16"/>
      <c r="F103" s="17"/>
      <c r="G103" s="18"/>
      <c r="H103" s="18"/>
      <c r="I103" s="37" t="str">
        <f ca="1">IF(H103="","",VLOOKUP(H103,WeightClasses!$A$2:$E$18,IF(LEFT(G103,1)="F",IF(YEAR(TODAY())-F103&lt;24,4,2),IF(YEAR(TODAY())-F103&lt;24,5,3)),TRUE))</f>
        <v/>
      </c>
      <c r="J103" s="19"/>
      <c r="K103" s="38"/>
      <c r="L103" s="19"/>
      <c r="M103" s="38"/>
      <c r="N103" s="19"/>
      <c r="O103" s="38"/>
      <c r="P103" s="39" t="str">
        <f t="shared" si="36"/>
        <v/>
      </c>
      <c r="Q103" s="19"/>
      <c r="R103" s="38"/>
      <c r="S103" s="19"/>
      <c r="T103" s="38"/>
      <c r="U103" s="19"/>
      <c r="V103" s="38"/>
      <c r="W103" s="39" t="str">
        <f t="shared" si="20"/>
        <v/>
      </c>
      <c r="X103" s="19"/>
      <c r="Y103" s="38"/>
      <c r="Z103" s="19"/>
      <c r="AA103" s="38"/>
      <c r="AB103" s="19"/>
      <c r="AC103" s="38"/>
      <c r="AD103" s="39" t="str">
        <f t="shared" si="21"/>
        <v/>
      </c>
      <c r="AE103" s="40" t="str">
        <f t="shared" si="22"/>
        <v/>
      </c>
      <c r="AF103" s="48" t="str">
        <f t="shared" si="37"/>
        <v/>
      </c>
      <c r="AG103" s="52">
        <f>IF(OR(H103="",H103=0),0, ROUND(100/(VLOOKUP($G103,'IPF GL Formula'!$A$4:$F$11,3,FALSE)-VLOOKUP($G103,'IPF GL Formula'!$A$4:$F$11,4,FALSE)*EXP(-VLOOKUP($G103,'IPF GL Formula'!$A$4:$F$11,5,FALSE)*H103)),6))</f>
        <v>0</v>
      </c>
      <c r="AH103" s="9"/>
      <c r="AI103" s="57" t="b">
        <f t="shared" si="23"/>
        <v>0</v>
      </c>
      <c r="AJ103" s="57" t="b">
        <f t="shared" si="24"/>
        <v>0</v>
      </c>
      <c r="AK103" s="57" t="b">
        <f t="shared" si="25"/>
        <v>0</v>
      </c>
      <c r="AL103" s="57" t="b">
        <f t="shared" si="26"/>
        <v>0</v>
      </c>
      <c r="AM103" s="57" t="b">
        <f t="shared" si="27"/>
        <v>0</v>
      </c>
      <c r="AN103" s="57" t="b">
        <f t="shared" si="28"/>
        <v>0</v>
      </c>
      <c r="AO103" s="57" t="b">
        <f t="shared" si="29"/>
        <v>0</v>
      </c>
      <c r="AP103" s="57" t="b">
        <f t="shared" si="30"/>
        <v>0</v>
      </c>
      <c r="AQ103" s="57" t="b">
        <f t="shared" si="31"/>
        <v>0</v>
      </c>
      <c r="AR103" s="53" t="b">
        <f t="shared" si="32"/>
        <v>0</v>
      </c>
      <c r="AS103" s="53" t="b">
        <f t="shared" si="33"/>
        <v>0</v>
      </c>
      <c r="AT103" s="53" t="b">
        <f t="shared" si="34"/>
        <v>0</v>
      </c>
      <c r="AU103" s="53" t="b">
        <f t="shared" si="35"/>
        <v>0</v>
      </c>
      <c r="AV103" s="54"/>
      <c r="AW103" s="9"/>
      <c r="AX103" s="9"/>
      <c r="AY103" s="9"/>
    </row>
    <row r="104" spans="1:51" x14ac:dyDescent="0.25">
      <c r="A104" s="15"/>
      <c r="B104" s="15"/>
      <c r="C104" s="16"/>
      <c r="D104" s="16"/>
      <c r="E104" s="16"/>
      <c r="F104" s="17"/>
      <c r="G104" s="18"/>
      <c r="H104" s="18"/>
      <c r="I104" s="37" t="str">
        <f ca="1">IF(H104="","",VLOOKUP(H104,WeightClasses!$A$2:$E$18,IF(LEFT(G104,1)="F",IF(YEAR(TODAY())-F104&lt;24,4,2),IF(YEAR(TODAY())-F104&lt;24,5,3)),TRUE))</f>
        <v/>
      </c>
      <c r="J104" s="19"/>
      <c r="K104" s="38"/>
      <c r="L104" s="19"/>
      <c r="M104" s="38"/>
      <c r="N104" s="19"/>
      <c r="O104" s="38"/>
      <c r="P104" s="39" t="str">
        <f t="shared" si="36"/>
        <v/>
      </c>
      <c r="Q104" s="19"/>
      <c r="R104" s="38"/>
      <c r="S104" s="19"/>
      <c r="T104" s="38"/>
      <c r="U104" s="19"/>
      <c r="V104" s="38"/>
      <c r="W104" s="39" t="str">
        <f t="shared" si="20"/>
        <v/>
      </c>
      <c r="X104" s="19"/>
      <c r="Y104" s="38"/>
      <c r="Z104" s="19"/>
      <c r="AA104" s="38"/>
      <c r="AB104" s="19"/>
      <c r="AC104" s="38"/>
      <c r="AD104" s="39" t="str">
        <f t="shared" si="21"/>
        <v/>
      </c>
      <c r="AE104" s="40" t="str">
        <f t="shared" si="22"/>
        <v/>
      </c>
      <c r="AF104" s="48" t="str">
        <f t="shared" si="37"/>
        <v/>
      </c>
      <c r="AG104" s="52">
        <f>IF(OR(H104="",H104=0),0, ROUND(100/(VLOOKUP($G104,'IPF GL Formula'!$A$4:$F$11,3,FALSE)-VLOOKUP($G104,'IPF GL Formula'!$A$4:$F$11,4,FALSE)*EXP(-VLOOKUP($G104,'IPF GL Formula'!$A$4:$F$11,5,FALSE)*H104)),6))</f>
        <v>0</v>
      </c>
      <c r="AH104" s="9"/>
      <c r="AI104" s="57" t="b">
        <f t="shared" si="23"/>
        <v>0</v>
      </c>
      <c r="AJ104" s="57" t="b">
        <f t="shared" si="24"/>
        <v>0</v>
      </c>
      <c r="AK104" s="57" t="b">
        <f t="shared" si="25"/>
        <v>0</v>
      </c>
      <c r="AL104" s="57" t="b">
        <f t="shared" si="26"/>
        <v>0</v>
      </c>
      <c r="AM104" s="57" t="b">
        <f t="shared" si="27"/>
        <v>0</v>
      </c>
      <c r="AN104" s="57" t="b">
        <f t="shared" si="28"/>
        <v>0</v>
      </c>
      <c r="AO104" s="57" t="b">
        <f t="shared" si="29"/>
        <v>0</v>
      </c>
      <c r="AP104" s="57" t="b">
        <f t="shared" si="30"/>
        <v>0</v>
      </c>
      <c r="AQ104" s="57" t="b">
        <f t="shared" si="31"/>
        <v>0</v>
      </c>
      <c r="AR104" s="53" t="b">
        <f t="shared" si="32"/>
        <v>0</v>
      </c>
      <c r="AS104" s="53" t="b">
        <f t="shared" si="33"/>
        <v>0</v>
      </c>
      <c r="AT104" s="53" t="b">
        <f t="shared" si="34"/>
        <v>0</v>
      </c>
      <c r="AU104" s="53" t="b">
        <f t="shared" si="35"/>
        <v>0</v>
      </c>
      <c r="AV104" s="54"/>
      <c r="AW104" s="9"/>
      <c r="AX104" s="9"/>
      <c r="AY104" s="9"/>
    </row>
    <row r="105" spans="1:51" x14ac:dyDescent="0.25">
      <c r="A105" s="15"/>
      <c r="B105" s="15"/>
      <c r="C105" s="16"/>
      <c r="D105" s="16"/>
      <c r="E105" s="16"/>
      <c r="F105" s="17"/>
      <c r="G105" s="18"/>
      <c r="H105" s="18"/>
      <c r="I105" s="37" t="str">
        <f ca="1">IF(H105="","",VLOOKUP(H105,WeightClasses!$A$2:$E$18,IF(LEFT(G105,1)="F",IF(YEAR(TODAY())-F105&lt;24,4,2),IF(YEAR(TODAY())-F105&lt;24,5,3)),TRUE))</f>
        <v/>
      </c>
      <c r="J105" s="19"/>
      <c r="K105" s="38"/>
      <c r="L105" s="19"/>
      <c r="M105" s="38"/>
      <c r="N105" s="19"/>
      <c r="O105" s="38"/>
      <c r="P105" s="39" t="str">
        <f t="shared" si="36"/>
        <v/>
      </c>
      <c r="Q105" s="19"/>
      <c r="R105" s="38"/>
      <c r="S105" s="19"/>
      <c r="T105" s="38"/>
      <c r="U105" s="19"/>
      <c r="V105" s="38"/>
      <c r="W105" s="39" t="str">
        <f t="shared" si="20"/>
        <v/>
      </c>
      <c r="X105" s="19"/>
      <c r="Y105" s="38"/>
      <c r="Z105" s="19"/>
      <c r="AA105" s="38"/>
      <c r="AB105" s="19"/>
      <c r="AC105" s="38"/>
      <c r="AD105" s="39" t="str">
        <f t="shared" si="21"/>
        <v/>
      </c>
      <c r="AE105" s="40" t="str">
        <f t="shared" si="22"/>
        <v/>
      </c>
      <c r="AF105" s="48" t="str">
        <f t="shared" si="37"/>
        <v/>
      </c>
      <c r="AG105" s="52">
        <f>IF(OR(H105="",H105=0),0, ROUND(100/(VLOOKUP($G105,'IPF GL Formula'!$A$4:$F$11,3,FALSE)-VLOOKUP($G105,'IPF GL Formula'!$A$4:$F$11,4,FALSE)*EXP(-VLOOKUP($G105,'IPF GL Formula'!$A$4:$F$11,5,FALSE)*H105)),6))</f>
        <v>0</v>
      </c>
      <c r="AH105" s="9"/>
      <c r="AI105" s="57" t="b">
        <f t="shared" si="23"/>
        <v>0</v>
      </c>
      <c r="AJ105" s="57" t="b">
        <f t="shared" si="24"/>
        <v>0</v>
      </c>
      <c r="AK105" s="57" t="b">
        <f t="shared" si="25"/>
        <v>0</v>
      </c>
      <c r="AL105" s="57" t="b">
        <f t="shared" si="26"/>
        <v>0</v>
      </c>
      <c r="AM105" s="57" t="b">
        <f t="shared" si="27"/>
        <v>0</v>
      </c>
      <c r="AN105" s="57" t="b">
        <f t="shared" si="28"/>
        <v>0</v>
      </c>
      <c r="AO105" s="57" t="b">
        <f t="shared" si="29"/>
        <v>0</v>
      </c>
      <c r="AP105" s="57" t="b">
        <f t="shared" si="30"/>
        <v>0</v>
      </c>
      <c r="AQ105" s="57" t="b">
        <f t="shared" si="31"/>
        <v>0</v>
      </c>
      <c r="AR105" s="53" t="b">
        <f t="shared" si="32"/>
        <v>0</v>
      </c>
      <c r="AS105" s="53" t="b">
        <f t="shared" si="33"/>
        <v>0</v>
      </c>
      <c r="AT105" s="53" t="b">
        <f t="shared" si="34"/>
        <v>0</v>
      </c>
      <c r="AU105" s="53" t="b">
        <f t="shared" si="35"/>
        <v>0</v>
      </c>
      <c r="AV105" s="54"/>
      <c r="AW105" s="9"/>
      <c r="AX105" s="9"/>
      <c r="AY105" s="9"/>
    </row>
  </sheetData>
  <sheetProtection sheet="1" selectLockedCells="1"/>
  <mergeCells count="12">
    <mergeCell ref="E2:Q2"/>
    <mergeCell ref="E3:Q3"/>
    <mergeCell ref="J4:K4"/>
    <mergeCell ref="Z4:AA4"/>
    <mergeCell ref="E1:Q1"/>
    <mergeCell ref="AB4:AC4"/>
    <mergeCell ref="X4:Y4"/>
    <mergeCell ref="L4:M4"/>
    <mergeCell ref="N4:O4"/>
    <mergeCell ref="Q4:R4"/>
    <mergeCell ref="S4:T4"/>
    <mergeCell ref="U4:V4"/>
  </mergeCells>
  <phoneticPr fontId="13" type="noConversion"/>
  <conditionalFormatting sqref="M21:M105 M5:M11 T5:T105 AA5:AA105 R5:R105 Y5:Y105 K5:K105 AC5:AC105 V5:V105 O5:P105">
    <cfRule type="expression" dxfId="76" priority="126">
      <formula>AND(J5=$S$2)</formula>
    </cfRule>
    <cfRule type="expression" dxfId="75" priority="127">
      <formula>AND(J5=$S$1)</formula>
    </cfRule>
  </conditionalFormatting>
  <conditionalFormatting sqref="M12:M20">
    <cfRule type="expression" dxfId="74" priority="80">
      <formula>AND(L12=$S$2)</formula>
    </cfRule>
    <cfRule type="expression" dxfId="73" priority="81">
      <formula>AND(L12=$S$1)</formula>
    </cfRule>
  </conditionalFormatting>
  <conditionalFormatting sqref="J6:J20">
    <cfRule type="cellIs" dxfId="72" priority="76" operator="equal">
      <formula>$S$2</formula>
    </cfRule>
    <cfRule type="cellIs" dxfId="71" priority="77" operator="equal">
      <formula>$S$1</formula>
    </cfRule>
  </conditionalFormatting>
  <conditionalFormatting sqref="J21:J105">
    <cfRule type="cellIs" dxfId="70" priority="74" operator="equal">
      <formula>$S$2</formula>
    </cfRule>
    <cfRule type="cellIs" dxfId="69" priority="75" operator="equal">
      <formula>$S$1</formula>
    </cfRule>
  </conditionalFormatting>
  <conditionalFormatting sqref="L5:L105">
    <cfRule type="cellIs" dxfId="68" priority="72" operator="equal">
      <formula>$S$2</formula>
    </cfRule>
    <cfRule type="cellIs" dxfId="67" priority="73" operator="equal">
      <formula>$S$1</formula>
    </cfRule>
  </conditionalFormatting>
  <conditionalFormatting sqref="N5:N105">
    <cfRule type="cellIs" dxfId="66" priority="70" operator="equal">
      <formula>$S$2</formula>
    </cfRule>
    <cfRule type="cellIs" dxfId="65" priority="71" operator="equal">
      <formula>$S$1</formula>
    </cfRule>
  </conditionalFormatting>
  <conditionalFormatting sqref="Q5:Q105">
    <cfRule type="cellIs" dxfId="64" priority="68" operator="equal">
      <formula>$S$2</formula>
    </cfRule>
    <cfRule type="cellIs" dxfId="63" priority="69" operator="equal">
      <formula>$S$1</formula>
    </cfRule>
  </conditionalFormatting>
  <conditionalFormatting sqref="S5:S6 S12:S105">
    <cfRule type="cellIs" dxfId="62" priority="66" operator="equal">
      <formula>$S$2</formula>
    </cfRule>
    <cfRule type="cellIs" dxfId="61" priority="67" operator="equal">
      <formula>$S$1</formula>
    </cfRule>
  </conditionalFormatting>
  <conditionalFormatting sqref="U5:U6 U12:U105">
    <cfRule type="cellIs" dxfId="60" priority="64" operator="equal">
      <formula>$S$2</formula>
    </cfRule>
    <cfRule type="cellIs" dxfId="59" priority="65" operator="equal">
      <formula>$S$1</formula>
    </cfRule>
  </conditionalFormatting>
  <conditionalFormatting sqref="X5:X6 X12:X105">
    <cfRule type="cellIs" dxfId="58" priority="62" operator="equal">
      <formula>$S$2</formula>
    </cfRule>
    <cfRule type="cellIs" dxfId="57" priority="63" operator="equal">
      <formula>$S$1</formula>
    </cfRule>
  </conditionalFormatting>
  <conditionalFormatting sqref="Z5:Z6 Z12:Z105">
    <cfRule type="cellIs" dxfId="56" priority="60" operator="equal">
      <formula>$S$2</formula>
    </cfRule>
    <cfRule type="cellIs" dxfId="55" priority="61" operator="equal">
      <formula>$S$1</formula>
    </cfRule>
  </conditionalFormatting>
  <conditionalFormatting sqref="AB5:AB7 AB11:AB105">
    <cfRule type="cellIs" dxfId="54" priority="58" operator="equal">
      <formula>$S$2</formula>
    </cfRule>
    <cfRule type="cellIs" dxfId="53" priority="59" operator="equal">
      <formula>$S$1</formula>
    </cfRule>
  </conditionalFormatting>
  <conditionalFormatting sqref="J5">
    <cfRule type="cellIs" dxfId="52" priority="52" operator="equal">
      <formula>$S$2</formula>
    </cfRule>
    <cfRule type="cellIs" dxfId="51" priority="53" operator="equal">
      <formula>$S$1</formula>
    </cfRule>
  </conditionalFormatting>
  <conditionalFormatting sqref="W5:W105">
    <cfRule type="expression" dxfId="50" priority="50">
      <formula>AND(V5=$S$2)</formula>
    </cfRule>
    <cfRule type="expression" dxfId="49" priority="51">
      <formula>AND(V5=$S$1)</formula>
    </cfRule>
  </conditionalFormatting>
  <conditionalFormatting sqref="AD5:AD105">
    <cfRule type="expression" dxfId="48" priority="48">
      <formula>AND(AC5=$S$2)</formula>
    </cfRule>
    <cfRule type="expression" dxfId="47" priority="49">
      <formula>AND(AC5=$S$1)</formula>
    </cfRule>
  </conditionalFormatting>
  <conditionalFormatting sqref="AG5:AG105">
    <cfRule type="cellIs" dxfId="46" priority="47" operator="equal">
      <formula>0</formula>
    </cfRule>
  </conditionalFormatting>
  <conditionalFormatting sqref="S11">
    <cfRule type="cellIs" dxfId="45" priority="45" operator="equal">
      <formula>$S$2</formula>
    </cfRule>
    <cfRule type="cellIs" dxfId="44" priority="46" operator="equal">
      <formula>$S$1</formula>
    </cfRule>
  </conditionalFormatting>
  <conditionalFormatting sqref="S10">
    <cfRule type="cellIs" dxfId="43" priority="43" operator="equal">
      <formula>$S$2</formula>
    </cfRule>
    <cfRule type="cellIs" dxfId="42" priority="44" operator="equal">
      <formula>$S$1</formula>
    </cfRule>
  </conditionalFormatting>
  <conditionalFormatting sqref="S8">
    <cfRule type="cellIs" dxfId="41" priority="41" operator="equal">
      <formula>$S$2</formula>
    </cfRule>
    <cfRule type="cellIs" dxfId="40" priority="42" operator="equal">
      <formula>$S$1</formula>
    </cfRule>
  </conditionalFormatting>
  <conditionalFormatting sqref="S7">
    <cfRule type="cellIs" dxfId="39" priority="39" operator="equal">
      <formula>$S$2</formula>
    </cfRule>
    <cfRule type="cellIs" dxfId="38" priority="40" operator="equal">
      <formula>$S$1</formula>
    </cfRule>
  </conditionalFormatting>
  <conditionalFormatting sqref="U7">
    <cfRule type="cellIs" dxfId="37" priority="37" operator="equal">
      <formula>$S$2</formula>
    </cfRule>
    <cfRule type="cellIs" dxfId="36" priority="38" operator="equal">
      <formula>$S$1</formula>
    </cfRule>
  </conditionalFormatting>
  <conditionalFormatting sqref="U9">
    <cfRule type="cellIs" dxfId="35" priority="35" operator="equal">
      <formula>$S$2</formula>
    </cfRule>
    <cfRule type="cellIs" dxfId="34" priority="36" operator="equal">
      <formula>$S$1</formula>
    </cfRule>
  </conditionalFormatting>
  <conditionalFormatting sqref="U10">
    <cfRule type="cellIs" dxfId="33" priority="33" operator="equal">
      <formula>$S$2</formula>
    </cfRule>
    <cfRule type="cellIs" dxfId="32" priority="34" operator="equal">
      <formula>$S$1</formula>
    </cfRule>
  </conditionalFormatting>
  <conditionalFormatting sqref="U11">
    <cfRule type="cellIs" dxfId="31" priority="31" operator="equal">
      <formula>$S$2</formula>
    </cfRule>
    <cfRule type="cellIs" dxfId="30" priority="32" operator="equal">
      <formula>$S$1</formula>
    </cfRule>
  </conditionalFormatting>
  <conditionalFormatting sqref="X11">
    <cfRule type="cellIs" dxfId="29" priority="29" operator="equal">
      <formula>$S$2</formula>
    </cfRule>
    <cfRule type="cellIs" dxfId="28" priority="30" operator="equal">
      <formula>$S$1</formula>
    </cfRule>
  </conditionalFormatting>
  <conditionalFormatting sqref="X10">
    <cfRule type="cellIs" dxfId="27" priority="27" operator="equal">
      <formula>$S$2</formula>
    </cfRule>
    <cfRule type="cellIs" dxfId="26" priority="28" operator="equal">
      <formula>$S$1</formula>
    </cfRule>
  </conditionalFormatting>
  <conditionalFormatting sqref="X9">
    <cfRule type="cellIs" dxfId="25" priority="25" operator="equal">
      <formula>$S$2</formula>
    </cfRule>
    <cfRule type="cellIs" dxfId="24" priority="26" operator="equal">
      <formula>$S$1</formula>
    </cfRule>
  </conditionalFormatting>
  <conditionalFormatting sqref="X8">
    <cfRule type="cellIs" dxfId="23" priority="23" operator="equal">
      <formula>$S$2</formula>
    </cfRule>
    <cfRule type="cellIs" dxfId="22" priority="24" operator="equal">
      <formula>$S$1</formula>
    </cfRule>
  </conditionalFormatting>
  <conditionalFormatting sqref="X7">
    <cfRule type="cellIs" dxfId="21" priority="21" operator="equal">
      <formula>$S$2</formula>
    </cfRule>
    <cfRule type="cellIs" dxfId="20" priority="22" operator="equal">
      <formula>$S$1</formula>
    </cfRule>
  </conditionalFormatting>
  <conditionalFormatting sqref="Z7">
    <cfRule type="cellIs" dxfId="19" priority="19" operator="equal">
      <formula>$S$2</formula>
    </cfRule>
    <cfRule type="cellIs" dxfId="18" priority="20" operator="equal">
      <formula>$S$1</formula>
    </cfRule>
  </conditionalFormatting>
  <conditionalFormatting sqref="Z8">
    <cfRule type="cellIs" dxfId="17" priority="17" operator="equal">
      <formula>$S$2</formula>
    </cfRule>
    <cfRule type="cellIs" dxfId="16" priority="18" operator="equal">
      <formula>$S$1</formula>
    </cfRule>
  </conditionalFormatting>
  <conditionalFormatting sqref="Z9">
    <cfRule type="cellIs" dxfId="15" priority="15" operator="equal">
      <formula>$S$2</formula>
    </cfRule>
    <cfRule type="cellIs" dxfId="14" priority="16" operator="equal">
      <formula>$S$1</formula>
    </cfRule>
  </conditionalFormatting>
  <conditionalFormatting sqref="Z10">
    <cfRule type="cellIs" dxfId="13" priority="13" operator="equal">
      <formula>$S$2</formula>
    </cfRule>
    <cfRule type="cellIs" dxfId="12" priority="14" operator="equal">
      <formula>$S$1</formula>
    </cfRule>
  </conditionalFormatting>
  <conditionalFormatting sqref="Z11">
    <cfRule type="cellIs" dxfId="11" priority="11" operator="equal">
      <formula>$S$2</formula>
    </cfRule>
    <cfRule type="cellIs" dxfId="10" priority="12" operator="equal">
      <formula>$S$1</formula>
    </cfRule>
  </conditionalFormatting>
  <conditionalFormatting sqref="U8">
    <cfRule type="cellIs" dxfId="9" priority="1" operator="equal">
      <formula>$S$2</formula>
    </cfRule>
    <cfRule type="cellIs" dxfId="8" priority="2" operator="equal">
      <formula>$S$1</formula>
    </cfRule>
  </conditionalFormatting>
  <conditionalFormatting sqref="AB10">
    <cfRule type="cellIs" dxfId="7" priority="9" operator="equal">
      <formula>$S$2</formula>
    </cfRule>
    <cfRule type="cellIs" dxfId="6" priority="10" operator="equal">
      <formula>$S$1</formula>
    </cfRule>
  </conditionalFormatting>
  <conditionalFormatting sqref="AB9">
    <cfRule type="cellIs" dxfId="5" priority="7" operator="equal">
      <formula>$S$2</formula>
    </cfRule>
    <cfRule type="cellIs" dxfId="4" priority="8" operator="equal">
      <formula>$S$1</formula>
    </cfRule>
  </conditionalFormatting>
  <conditionalFormatting sqref="AB8">
    <cfRule type="cellIs" dxfId="3" priority="5" operator="equal">
      <formula>$S$2</formula>
    </cfRule>
    <cfRule type="cellIs" dxfId="2" priority="6" operator="equal">
      <formula>$S$1</formula>
    </cfRule>
  </conditionalFormatting>
  <conditionalFormatting sqref="S9">
    <cfRule type="cellIs" dxfId="1" priority="3" operator="equal">
      <formula>$S$2</formula>
    </cfRule>
    <cfRule type="cellIs" dxfId="0" priority="4" operator="equal">
      <formula>$S$1</formula>
    </cfRule>
  </conditionalFormatting>
  <dataValidations count="1">
    <dataValidation type="list" allowBlank="1" showInputMessage="1" showErrorMessage="1" sqref="L5:L105 AB5:AB105 X5:X105 U5:U105 S5:S105 Q5:Q105 N5:N105 Z5:Z105 J5:J105" xr:uid="{00000000-0002-0000-0100-000001000000}">
      <formula1>$S$1:$S$2</formula1>
    </dataValidation>
  </dataValidations>
  <pageMargins left="0.70000000000000007" right="0.70000000000000007" top="0.75000000000000011" bottom="0.75000000000000011" header="0.30000000000000004" footer="0.30000000000000004"/>
  <pageSetup scale="6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63" r:id="rId4" name="Button 15">
              <controlPr defaultSize="0" print="0" autoFill="0" autoPict="0" macro="[0]!Button2_Click" altText="Clear All Data">
                <anchor moveWithCells="1" sizeWithCells="1">
                  <from>
                    <xdr:col>29</xdr:col>
                    <xdr:colOff>85725</xdr:colOff>
                    <xdr:row>0</xdr:row>
                    <xdr:rowOff>76200</xdr:rowOff>
                  </from>
                  <to>
                    <xdr:col>31</xdr:col>
                    <xdr:colOff>647700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DE33C3F-38EC-4409-B4E5-BD94E6E7DCDE}">
          <x14:formula1>
            <xm:f>'IPF GL Formula'!$A$4:$A$11</xm:f>
          </x14:formula1>
          <xm:sqref>G5:G105</xm:sqref>
        </x14:dataValidation>
      </x14:dataValidations>
    </ex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2"/>
  <dimension ref="B2:X57"/>
  <sheetViews>
    <sheetView showRowColHeaders="0" zoomScaleNormal="100" workbookViewId="0">
      <selection activeCell="B1" sqref="B1"/>
    </sheetView>
  </sheetViews>
  <sheetFormatPr defaultColWidth="8.7109375" defaultRowHeight="15" x14ac:dyDescent="0.25"/>
  <cols>
    <col min="1" max="1" width="4.42578125" customWidth="1"/>
  </cols>
  <sheetData>
    <row r="2" spans="2:3" x14ac:dyDescent="0.25">
      <c r="B2" t="s">
        <v>57</v>
      </c>
    </row>
    <row r="3" spans="2:3" x14ac:dyDescent="0.25">
      <c r="C3" t="s">
        <v>49</v>
      </c>
    </row>
    <row r="5" spans="2:3" x14ac:dyDescent="0.25">
      <c r="B5" t="s">
        <v>46</v>
      </c>
    </row>
    <row r="7" spans="2:3" x14ac:dyDescent="0.25">
      <c r="B7" t="s">
        <v>54</v>
      </c>
    </row>
    <row r="8" spans="2:3" x14ac:dyDescent="0.25">
      <c r="C8" t="s">
        <v>47</v>
      </c>
    </row>
    <row r="10" spans="2:3" x14ac:dyDescent="0.25">
      <c r="B10" t="s">
        <v>48</v>
      </c>
    </row>
    <row r="24" spans="2:24" x14ac:dyDescent="0.25">
      <c r="X24" s="14"/>
    </row>
    <row r="25" spans="2:24" x14ac:dyDescent="0.25">
      <c r="X25" s="14"/>
    </row>
    <row r="27" spans="2:24" x14ac:dyDescent="0.25">
      <c r="B27" t="s">
        <v>55</v>
      </c>
    </row>
    <row r="29" spans="2:24" x14ac:dyDescent="0.25">
      <c r="B29" t="s">
        <v>50</v>
      </c>
    </row>
    <row r="30" spans="2:24" x14ac:dyDescent="0.25">
      <c r="C30" t="s">
        <v>68</v>
      </c>
    </row>
    <row r="31" spans="2:24" x14ac:dyDescent="0.25">
      <c r="C31" t="s">
        <v>69</v>
      </c>
    </row>
    <row r="46" spans="2:2" x14ac:dyDescent="0.25">
      <c r="B46" t="s">
        <v>56</v>
      </c>
    </row>
    <row r="57" spans="2:2" x14ac:dyDescent="0.25">
      <c r="B57" t="s">
        <v>70</v>
      </c>
    </row>
  </sheetData>
  <phoneticPr fontId="13" type="noConversion"/>
  <pageMargins left="0.2" right="0.2" top="0.75000000000000011" bottom="0.75000000000000011" header="0.30000000000000004" footer="0.30000000000000004"/>
  <pageSetup scale="65" orientation="landscape" horizontalDpi="4294967292" verticalDpi="4294967292"/>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3"/>
  <dimension ref="A1:F11"/>
  <sheetViews>
    <sheetView workbookViewId="0">
      <selection sqref="A1:E2"/>
    </sheetView>
  </sheetViews>
  <sheetFormatPr defaultColWidth="11" defaultRowHeight="12.75" x14ac:dyDescent="0.2"/>
  <cols>
    <col min="1" max="1" width="14.7109375" style="5" customWidth="1"/>
    <col min="2" max="2" width="24.28515625" style="5" customWidth="1"/>
    <col min="3" max="6" width="12.7109375" style="5" customWidth="1"/>
    <col min="7" max="252" width="11" style="3"/>
    <col min="253" max="253" width="30.7109375" style="3" customWidth="1"/>
    <col min="254" max="257" width="12.7109375" style="3" customWidth="1"/>
    <col min="258" max="508" width="11" style="3"/>
    <col min="509" max="509" width="30.7109375" style="3" customWidth="1"/>
    <col min="510" max="513" width="12.7109375" style="3" customWidth="1"/>
    <col min="514" max="764" width="11" style="3"/>
    <col min="765" max="765" width="30.7109375" style="3" customWidth="1"/>
    <col min="766" max="769" width="12.7109375" style="3" customWidth="1"/>
    <col min="770" max="1020" width="11" style="3"/>
    <col min="1021" max="1021" width="30.7109375" style="3" customWidth="1"/>
    <col min="1022" max="1025" width="12.7109375" style="3" customWidth="1"/>
    <col min="1026" max="1276" width="11" style="3"/>
    <col min="1277" max="1277" width="30.7109375" style="3" customWidth="1"/>
    <col min="1278" max="1281" width="12.7109375" style="3" customWidth="1"/>
    <col min="1282" max="1532" width="11" style="3"/>
    <col min="1533" max="1533" width="30.7109375" style="3" customWidth="1"/>
    <col min="1534" max="1537" width="12.7109375" style="3" customWidth="1"/>
    <col min="1538" max="1788" width="11" style="3"/>
    <col min="1789" max="1789" width="30.7109375" style="3" customWidth="1"/>
    <col min="1790" max="1793" width="12.7109375" style="3" customWidth="1"/>
    <col min="1794" max="2044" width="11" style="3"/>
    <col min="2045" max="2045" width="30.7109375" style="3" customWidth="1"/>
    <col min="2046" max="2049" width="12.7109375" style="3" customWidth="1"/>
    <col min="2050" max="2300" width="11" style="3"/>
    <col min="2301" max="2301" width="30.7109375" style="3" customWidth="1"/>
    <col min="2302" max="2305" width="12.7109375" style="3" customWidth="1"/>
    <col min="2306" max="2556" width="11" style="3"/>
    <col min="2557" max="2557" width="30.7109375" style="3" customWidth="1"/>
    <col min="2558" max="2561" width="12.7109375" style="3" customWidth="1"/>
    <col min="2562" max="2812" width="11" style="3"/>
    <col min="2813" max="2813" width="30.7109375" style="3" customWidth="1"/>
    <col min="2814" max="2817" width="12.7109375" style="3" customWidth="1"/>
    <col min="2818" max="3068" width="11" style="3"/>
    <col min="3069" max="3069" width="30.7109375" style="3" customWidth="1"/>
    <col min="3070" max="3073" width="12.7109375" style="3" customWidth="1"/>
    <col min="3074" max="3324" width="11" style="3"/>
    <col min="3325" max="3325" width="30.7109375" style="3" customWidth="1"/>
    <col min="3326" max="3329" width="12.7109375" style="3" customWidth="1"/>
    <col min="3330" max="3580" width="11" style="3"/>
    <col min="3581" max="3581" width="30.7109375" style="3" customWidth="1"/>
    <col min="3582" max="3585" width="12.7109375" style="3" customWidth="1"/>
    <col min="3586" max="3836" width="11" style="3"/>
    <col min="3837" max="3837" width="30.7109375" style="3" customWidth="1"/>
    <col min="3838" max="3841" width="12.7109375" style="3" customWidth="1"/>
    <col min="3842" max="4092" width="11" style="3"/>
    <col min="4093" max="4093" width="30.7109375" style="3" customWidth="1"/>
    <col min="4094" max="4097" width="12.7109375" style="3" customWidth="1"/>
    <col min="4098" max="4348" width="11" style="3"/>
    <col min="4349" max="4349" width="30.7109375" style="3" customWidth="1"/>
    <col min="4350" max="4353" width="12.7109375" style="3" customWidth="1"/>
    <col min="4354" max="4604" width="11" style="3"/>
    <col min="4605" max="4605" width="30.7109375" style="3" customWidth="1"/>
    <col min="4606" max="4609" width="12.7109375" style="3" customWidth="1"/>
    <col min="4610" max="4860" width="11" style="3"/>
    <col min="4861" max="4861" width="30.7109375" style="3" customWidth="1"/>
    <col min="4862" max="4865" width="12.7109375" style="3" customWidth="1"/>
    <col min="4866" max="5116" width="11" style="3"/>
    <col min="5117" max="5117" width="30.7109375" style="3" customWidth="1"/>
    <col min="5118" max="5121" width="12.7109375" style="3" customWidth="1"/>
    <col min="5122" max="5372" width="11" style="3"/>
    <col min="5373" max="5373" width="30.7109375" style="3" customWidth="1"/>
    <col min="5374" max="5377" width="12.7109375" style="3" customWidth="1"/>
    <col min="5378" max="5628" width="11" style="3"/>
    <col min="5629" max="5629" width="30.7109375" style="3" customWidth="1"/>
    <col min="5630" max="5633" width="12.7109375" style="3" customWidth="1"/>
    <col min="5634" max="5884" width="11" style="3"/>
    <col min="5885" max="5885" width="30.7109375" style="3" customWidth="1"/>
    <col min="5886" max="5889" width="12.7109375" style="3" customWidth="1"/>
    <col min="5890" max="6140" width="11" style="3"/>
    <col min="6141" max="6141" width="30.7109375" style="3" customWidth="1"/>
    <col min="6142" max="6145" width="12.7109375" style="3" customWidth="1"/>
    <col min="6146" max="6396" width="11" style="3"/>
    <col min="6397" max="6397" width="30.7109375" style="3" customWidth="1"/>
    <col min="6398" max="6401" width="12.7109375" style="3" customWidth="1"/>
    <col min="6402" max="6652" width="11" style="3"/>
    <col min="6653" max="6653" width="30.7109375" style="3" customWidth="1"/>
    <col min="6654" max="6657" width="12.7109375" style="3" customWidth="1"/>
    <col min="6658" max="6908" width="11" style="3"/>
    <col min="6909" max="6909" width="30.7109375" style="3" customWidth="1"/>
    <col min="6910" max="6913" width="12.7109375" style="3" customWidth="1"/>
    <col min="6914" max="7164" width="11" style="3"/>
    <col min="7165" max="7165" width="30.7109375" style="3" customWidth="1"/>
    <col min="7166" max="7169" width="12.7109375" style="3" customWidth="1"/>
    <col min="7170" max="7420" width="11" style="3"/>
    <col min="7421" max="7421" width="30.7109375" style="3" customWidth="1"/>
    <col min="7422" max="7425" width="12.7109375" style="3" customWidth="1"/>
    <col min="7426" max="7676" width="11" style="3"/>
    <col min="7677" max="7677" width="30.7109375" style="3" customWidth="1"/>
    <col min="7678" max="7681" width="12.7109375" style="3" customWidth="1"/>
    <col min="7682" max="7932" width="11" style="3"/>
    <col min="7933" max="7933" width="30.7109375" style="3" customWidth="1"/>
    <col min="7934" max="7937" width="12.7109375" style="3" customWidth="1"/>
    <col min="7938" max="8188" width="11" style="3"/>
    <col min="8189" max="8189" width="30.7109375" style="3" customWidth="1"/>
    <col min="8190" max="8193" width="12.7109375" style="3" customWidth="1"/>
    <col min="8194" max="8444" width="11" style="3"/>
    <col min="8445" max="8445" width="30.7109375" style="3" customWidth="1"/>
    <col min="8446" max="8449" width="12.7109375" style="3" customWidth="1"/>
    <col min="8450" max="8700" width="11" style="3"/>
    <col min="8701" max="8701" width="30.7109375" style="3" customWidth="1"/>
    <col min="8702" max="8705" width="12.7109375" style="3" customWidth="1"/>
    <col min="8706" max="8956" width="11" style="3"/>
    <col min="8957" max="8957" width="30.7109375" style="3" customWidth="1"/>
    <col min="8958" max="8961" width="12.7109375" style="3" customWidth="1"/>
    <col min="8962" max="9212" width="11" style="3"/>
    <col min="9213" max="9213" width="30.7109375" style="3" customWidth="1"/>
    <col min="9214" max="9217" width="12.7109375" style="3" customWidth="1"/>
    <col min="9218" max="9468" width="11" style="3"/>
    <col min="9469" max="9469" width="30.7109375" style="3" customWidth="1"/>
    <col min="9470" max="9473" width="12.7109375" style="3" customWidth="1"/>
    <col min="9474" max="9724" width="11" style="3"/>
    <col min="9725" max="9725" width="30.7109375" style="3" customWidth="1"/>
    <col min="9726" max="9729" width="12.7109375" style="3" customWidth="1"/>
    <col min="9730" max="9980" width="11" style="3"/>
    <col min="9981" max="9981" width="30.7109375" style="3" customWidth="1"/>
    <col min="9982" max="9985" width="12.7109375" style="3" customWidth="1"/>
    <col min="9986" max="10236" width="11" style="3"/>
    <col min="10237" max="10237" width="30.7109375" style="3" customWidth="1"/>
    <col min="10238" max="10241" width="12.7109375" style="3" customWidth="1"/>
    <col min="10242" max="10492" width="11" style="3"/>
    <col min="10493" max="10493" width="30.7109375" style="3" customWidth="1"/>
    <col min="10494" max="10497" width="12.7109375" style="3" customWidth="1"/>
    <col min="10498" max="10748" width="11" style="3"/>
    <col min="10749" max="10749" width="30.7109375" style="3" customWidth="1"/>
    <col min="10750" max="10753" width="12.7109375" style="3" customWidth="1"/>
    <col min="10754" max="11004" width="11" style="3"/>
    <col min="11005" max="11005" width="30.7109375" style="3" customWidth="1"/>
    <col min="11006" max="11009" width="12.7109375" style="3" customWidth="1"/>
    <col min="11010" max="11260" width="11" style="3"/>
    <col min="11261" max="11261" width="30.7109375" style="3" customWidth="1"/>
    <col min="11262" max="11265" width="12.7109375" style="3" customWidth="1"/>
    <col min="11266" max="11516" width="11" style="3"/>
    <col min="11517" max="11517" width="30.7109375" style="3" customWidth="1"/>
    <col min="11518" max="11521" width="12.7109375" style="3" customWidth="1"/>
    <col min="11522" max="11772" width="11" style="3"/>
    <col min="11773" max="11773" width="30.7109375" style="3" customWidth="1"/>
    <col min="11774" max="11777" width="12.7109375" style="3" customWidth="1"/>
    <col min="11778" max="12028" width="11" style="3"/>
    <col min="12029" max="12029" width="30.7109375" style="3" customWidth="1"/>
    <col min="12030" max="12033" width="12.7109375" style="3" customWidth="1"/>
    <col min="12034" max="12284" width="11" style="3"/>
    <col min="12285" max="12285" width="30.7109375" style="3" customWidth="1"/>
    <col min="12286" max="12289" width="12.7109375" style="3" customWidth="1"/>
    <col min="12290" max="12540" width="11" style="3"/>
    <col min="12541" max="12541" width="30.7109375" style="3" customWidth="1"/>
    <col min="12542" max="12545" width="12.7109375" style="3" customWidth="1"/>
    <col min="12546" max="12796" width="11" style="3"/>
    <col min="12797" max="12797" width="30.7109375" style="3" customWidth="1"/>
    <col min="12798" max="12801" width="12.7109375" style="3" customWidth="1"/>
    <col min="12802" max="13052" width="11" style="3"/>
    <col min="13053" max="13053" width="30.7109375" style="3" customWidth="1"/>
    <col min="13054" max="13057" width="12.7109375" style="3" customWidth="1"/>
    <col min="13058" max="13308" width="11" style="3"/>
    <col min="13309" max="13309" width="30.7109375" style="3" customWidth="1"/>
    <col min="13310" max="13313" width="12.7109375" style="3" customWidth="1"/>
    <col min="13314" max="13564" width="11" style="3"/>
    <col min="13565" max="13565" width="30.7109375" style="3" customWidth="1"/>
    <col min="13566" max="13569" width="12.7109375" style="3" customWidth="1"/>
    <col min="13570" max="13820" width="11" style="3"/>
    <col min="13821" max="13821" width="30.7109375" style="3" customWidth="1"/>
    <col min="13822" max="13825" width="12.7109375" style="3" customWidth="1"/>
    <col min="13826" max="14076" width="11" style="3"/>
    <col min="14077" max="14077" width="30.7109375" style="3" customWidth="1"/>
    <col min="14078" max="14081" width="12.7109375" style="3" customWidth="1"/>
    <col min="14082" max="14332" width="11" style="3"/>
    <col min="14333" max="14333" width="30.7109375" style="3" customWidth="1"/>
    <col min="14334" max="14337" width="12.7109375" style="3" customWidth="1"/>
    <col min="14338" max="14588" width="11" style="3"/>
    <col min="14589" max="14589" width="30.7109375" style="3" customWidth="1"/>
    <col min="14590" max="14593" width="12.7109375" style="3" customWidth="1"/>
    <col min="14594" max="14844" width="11" style="3"/>
    <col min="14845" max="14845" width="30.7109375" style="3" customWidth="1"/>
    <col min="14846" max="14849" width="12.7109375" style="3" customWidth="1"/>
    <col min="14850" max="15100" width="11" style="3"/>
    <col min="15101" max="15101" width="30.7109375" style="3" customWidth="1"/>
    <col min="15102" max="15105" width="12.7109375" style="3" customWidth="1"/>
    <col min="15106" max="15356" width="11" style="3"/>
    <col min="15357" max="15357" width="30.7109375" style="3" customWidth="1"/>
    <col min="15358" max="15361" width="12.7109375" style="3" customWidth="1"/>
    <col min="15362" max="15612" width="11" style="3"/>
    <col min="15613" max="15613" width="30.7109375" style="3" customWidth="1"/>
    <col min="15614" max="15617" width="12.7109375" style="3" customWidth="1"/>
    <col min="15618" max="15868" width="11" style="3"/>
    <col min="15869" max="15869" width="30.7109375" style="3" customWidth="1"/>
    <col min="15870" max="15873" width="12.7109375" style="3" customWidth="1"/>
    <col min="15874" max="16124" width="11" style="3"/>
    <col min="16125" max="16125" width="30.7109375" style="3" customWidth="1"/>
    <col min="16126" max="16129" width="12.7109375" style="3" customWidth="1"/>
    <col min="16130" max="16384" width="11" style="3"/>
  </cols>
  <sheetData>
    <row r="1" spans="1:6" ht="14.45" customHeight="1" x14ac:dyDescent="0.2">
      <c r="A1" s="63" t="s">
        <v>13</v>
      </c>
      <c r="B1" s="63"/>
      <c r="C1" s="63"/>
      <c r="D1" s="63"/>
      <c r="E1" s="63"/>
      <c r="F1" s="29"/>
    </row>
    <row r="2" spans="1:6" ht="1.1499999999999999" customHeight="1" x14ac:dyDescent="0.2">
      <c r="A2" s="64"/>
      <c r="B2" s="64"/>
      <c r="C2" s="64"/>
      <c r="D2" s="64"/>
      <c r="E2" s="64"/>
      <c r="F2" s="23"/>
    </row>
    <row r="3" spans="1:6" x14ac:dyDescent="0.2">
      <c r="A3" s="26" t="s">
        <v>53</v>
      </c>
      <c r="B3" s="26" t="s">
        <v>34</v>
      </c>
      <c r="C3" s="27" t="s">
        <v>35</v>
      </c>
      <c r="D3" s="27" t="s">
        <v>51</v>
      </c>
      <c r="E3" s="28" t="s">
        <v>52</v>
      </c>
      <c r="F3" s="24"/>
    </row>
    <row r="4" spans="1:6" ht="15.75" x14ac:dyDescent="0.2">
      <c r="A4" s="4" t="s">
        <v>18</v>
      </c>
      <c r="B4" s="20" t="s">
        <v>30</v>
      </c>
      <c r="C4" s="21">
        <v>1199.72839</v>
      </c>
      <c r="D4" s="21">
        <v>1025.1816200000001</v>
      </c>
      <c r="E4" s="22">
        <v>9.2099999999999994E-3</v>
      </c>
      <c r="F4" s="25"/>
    </row>
    <row r="5" spans="1:6" ht="15.75" x14ac:dyDescent="0.2">
      <c r="A5" s="4" t="s">
        <v>19</v>
      </c>
      <c r="B5" s="20" t="s">
        <v>31</v>
      </c>
      <c r="C5" s="21">
        <v>320.98041000000001</v>
      </c>
      <c r="D5" s="21">
        <v>281.40258</v>
      </c>
      <c r="E5" s="22">
        <v>1.008E-2</v>
      </c>
      <c r="F5" s="25"/>
    </row>
    <row r="6" spans="1:6" ht="15.75" x14ac:dyDescent="0.2">
      <c r="A6" s="4" t="s">
        <v>21</v>
      </c>
      <c r="B6" s="20" t="s">
        <v>32</v>
      </c>
      <c r="C6" s="21">
        <v>1236.2511500000001</v>
      </c>
      <c r="D6" s="21">
        <v>1449.2186400000001</v>
      </c>
      <c r="E6" s="22">
        <v>1.644E-2</v>
      </c>
      <c r="F6" s="25"/>
    </row>
    <row r="7" spans="1:6" ht="15.75" x14ac:dyDescent="0.2">
      <c r="A7" s="4" t="s">
        <v>20</v>
      </c>
      <c r="B7" s="20" t="s">
        <v>33</v>
      </c>
      <c r="C7" s="21">
        <v>381.22073</v>
      </c>
      <c r="D7" s="21">
        <v>733.79377999999997</v>
      </c>
      <c r="E7" s="22">
        <v>2.3980000000000001E-2</v>
      </c>
      <c r="F7" s="25"/>
    </row>
    <row r="8" spans="1:6" ht="15.75" x14ac:dyDescent="0.2">
      <c r="A8" s="4" t="s">
        <v>22</v>
      </c>
      <c r="B8" s="20" t="s">
        <v>26</v>
      </c>
      <c r="C8" s="21">
        <v>610.32795999999996</v>
      </c>
      <c r="D8" s="21">
        <v>1045.5928200000001</v>
      </c>
      <c r="E8" s="22">
        <v>3.048E-2</v>
      </c>
      <c r="F8" s="25"/>
    </row>
    <row r="9" spans="1:6" ht="15.75" x14ac:dyDescent="0.2">
      <c r="A9" s="4" t="s">
        <v>23</v>
      </c>
      <c r="B9" s="20" t="s">
        <v>27</v>
      </c>
      <c r="C9" s="21">
        <v>142.40397999999999</v>
      </c>
      <c r="D9" s="21">
        <v>442.52670999999998</v>
      </c>
      <c r="E9" s="22">
        <v>4.7239999999999997E-2</v>
      </c>
      <c r="F9" s="25"/>
    </row>
    <row r="10" spans="1:6" ht="15.75" x14ac:dyDescent="0.2">
      <c r="A10" s="4" t="s">
        <v>24</v>
      </c>
      <c r="B10" s="20" t="s">
        <v>28</v>
      </c>
      <c r="C10" s="21">
        <v>758.63878</v>
      </c>
      <c r="D10" s="21">
        <v>949.31381999999996</v>
      </c>
      <c r="E10" s="22">
        <v>2.435E-2</v>
      </c>
      <c r="F10" s="25"/>
    </row>
    <row r="11" spans="1:6" ht="15.75" x14ac:dyDescent="0.2">
      <c r="A11" s="4" t="s">
        <v>25</v>
      </c>
      <c r="B11" s="20" t="s">
        <v>29</v>
      </c>
      <c r="C11" s="21">
        <v>221.82209</v>
      </c>
      <c r="D11" s="21">
        <v>357.00376999999997</v>
      </c>
      <c r="E11" s="22">
        <v>2.937E-2</v>
      </c>
      <c r="F11" s="25"/>
    </row>
  </sheetData>
  <mergeCells count="1">
    <mergeCell ref="A1:E2"/>
  </mergeCells>
  <dataValidations count="1">
    <dataValidation type="list" operator="equal" allowBlank="1" showInputMessage="1" showErrorMessage="1" sqref="B65528 IS65528 SO65528 ACK65528 AMG65528 AWC65528 BFY65528 BPU65528 BZQ65528 CJM65528 CTI65528 DDE65528 DNA65528 DWW65528 EGS65528 EQO65528 FAK65528 FKG65528 FUC65528 GDY65528 GNU65528 GXQ65528 HHM65528 HRI65528 IBE65528 ILA65528 IUW65528 JES65528 JOO65528 JYK65528 KIG65528 KSC65528 LBY65528 LLU65528 LVQ65528 MFM65528 MPI65528 MZE65528 NJA65528 NSW65528 OCS65528 OMO65528 OWK65528 PGG65528 PQC65528 PZY65528 QJU65528 QTQ65528 RDM65528 RNI65528 RXE65528 SHA65528 SQW65528 TAS65528 TKO65528 TUK65528 UEG65528 UOC65528 UXY65528 VHU65528 VRQ65528 WBM65528 WLI65528 WVE65528 B131064 IS131064 SO131064 ACK131064 AMG131064 AWC131064 BFY131064 BPU131064 BZQ131064 CJM131064 CTI131064 DDE131064 DNA131064 DWW131064 EGS131064 EQO131064 FAK131064 FKG131064 FUC131064 GDY131064 GNU131064 GXQ131064 HHM131064 HRI131064 IBE131064 ILA131064 IUW131064 JES131064 JOO131064 JYK131064 KIG131064 KSC131064 LBY131064 LLU131064 LVQ131064 MFM131064 MPI131064 MZE131064 NJA131064 NSW131064 OCS131064 OMO131064 OWK131064 PGG131064 PQC131064 PZY131064 QJU131064 QTQ131064 RDM131064 RNI131064 RXE131064 SHA131064 SQW131064 TAS131064 TKO131064 TUK131064 UEG131064 UOC131064 UXY131064 VHU131064 VRQ131064 WBM131064 WLI131064 WVE131064 B196600 IS196600 SO196600 ACK196600 AMG196600 AWC196600 BFY196600 BPU196600 BZQ196600 CJM196600 CTI196600 DDE196600 DNA196600 DWW196600 EGS196600 EQO196600 FAK196600 FKG196600 FUC196600 GDY196600 GNU196600 GXQ196600 HHM196600 HRI196600 IBE196600 ILA196600 IUW196600 JES196600 JOO196600 JYK196600 KIG196600 KSC196600 LBY196600 LLU196600 LVQ196600 MFM196600 MPI196600 MZE196600 NJA196600 NSW196600 OCS196600 OMO196600 OWK196600 PGG196600 PQC196600 PZY196600 QJU196600 QTQ196600 RDM196600 RNI196600 RXE196600 SHA196600 SQW196600 TAS196600 TKO196600 TUK196600 UEG196600 UOC196600 UXY196600 VHU196600 VRQ196600 WBM196600 WLI196600 WVE196600 B262136 IS262136 SO262136 ACK262136 AMG262136 AWC262136 BFY262136 BPU262136 BZQ262136 CJM262136 CTI262136 DDE262136 DNA262136 DWW262136 EGS262136 EQO262136 FAK262136 FKG262136 FUC262136 GDY262136 GNU262136 GXQ262136 HHM262136 HRI262136 IBE262136 ILA262136 IUW262136 JES262136 JOO262136 JYK262136 KIG262136 KSC262136 LBY262136 LLU262136 LVQ262136 MFM262136 MPI262136 MZE262136 NJA262136 NSW262136 OCS262136 OMO262136 OWK262136 PGG262136 PQC262136 PZY262136 QJU262136 QTQ262136 RDM262136 RNI262136 RXE262136 SHA262136 SQW262136 TAS262136 TKO262136 TUK262136 UEG262136 UOC262136 UXY262136 VHU262136 VRQ262136 WBM262136 WLI262136 WVE262136 B327672 IS327672 SO327672 ACK327672 AMG327672 AWC327672 BFY327672 BPU327672 BZQ327672 CJM327672 CTI327672 DDE327672 DNA327672 DWW327672 EGS327672 EQO327672 FAK327672 FKG327672 FUC327672 GDY327672 GNU327672 GXQ327672 HHM327672 HRI327672 IBE327672 ILA327672 IUW327672 JES327672 JOO327672 JYK327672 KIG327672 KSC327672 LBY327672 LLU327672 LVQ327672 MFM327672 MPI327672 MZE327672 NJA327672 NSW327672 OCS327672 OMO327672 OWK327672 PGG327672 PQC327672 PZY327672 QJU327672 QTQ327672 RDM327672 RNI327672 RXE327672 SHA327672 SQW327672 TAS327672 TKO327672 TUK327672 UEG327672 UOC327672 UXY327672 VHU327672 VRQ327672 WBM327672 WLI327672 WVE327672 B393208 IS393208 SO393208 ACK393208 AMG393208 AWC393208 BFY393208 BPU393208 BZQ393208 CJM393208 CTI393208 DDE393208 DNA393208 DWW393208 EGS393208 EQO393208 FAK393208 FKG393208 FUC393208 GDY393208 GNU393208 GXQ393208 HHM393208 HRI393208 IBE393208 ILA393208 IUW393208 JES393208 JOO393208 JYK393208 KIG393208 KSC393208 LBY393208 LLU393208 LVQ393208 MFM393208 MPI393208 MZE393208 NJA393208 NSW393208 OCS393208 OMO393208 OWK393208 PGG393208 PQC393208 PZY393208 QJU393208 QTQ393208 RDM393208 RNI393208 RXE393208 SHA393208 SQW393208 TAS393208 TKO393208 TUK393208 UEG393208 UOC393208 UXY393208 VHU393208 VRQ393208 WBM393208 WLI393208 WVE393208 B458744 IS458744 SO458744 ACK458744 AMG458744 AWC458744 BFY458744 BPU458744 BZQ458744 CJM458744 CTI458744 DDE458744 DNA458744 DWW458744 EGS458744 EQO458744 FAK458744 FKG458744 FUC458744 GDY458744 GNU458744 GXQ458744 HHM458744 HRI458744 IBE458744 ILA458744 IUW458744 JES458744 JOO458744 JYK458744 KIG458744 KSC458744 LBY458744 LLU458744 LVQ458744 MFM458744 MPI458744 MZE458744 NJA458744 NSW458744 OCS458744 OMO458744 OWK458744 PGG458744 PQC458744 PZY458744 QJU458744 QTQ458744 RDM458744 RNI458744 RXE458744 SHA458744 SQW458744 TAS458744 TKO458744 TUK458744 UEG458744 UOC458744 UXY458744 VHU458744 VRQ458744 WBM458744 WLI458744 WVE458744 B524280 IS524280 SO524280 ACK524280 AMG524280 AWC524280 BFY524280 BPU524280 BZQ524280 CJM524280 CTI524280 DDE524280 DNA524280 DWW524280 EGS524280 EQO524280 FAK524280 FKG524280 FUC524280 GDY524280 GNU524280 GXQ524280 HHM524280 HRI524280 IBE524280 ILA524280 IUW524280 JES524280 JOO524280 JYK524280 KIG524280 KSC524280 LBY524280 LLU524280 LVQ524280 MFM524280 MPI524280 MZE524280 NJA524280 NSW524280 OCS524280 OMO524280 OWK524280 PGG524280 PQC524280 PZY524280 QJU524280 QTQ524280 RDM524280 RNI524280 RXE524280 SHA524280 SQW524280 TAS524280 TKO524280 TUK524280 UEG524280 UOC524280 UXY524280 VHU524280 VRQ524280 WBM524280 WLI524280 WVE524280 B589816 IS589816 SO589816 ACK589816 AMG589816 AWC589816 BFY589816 BPU589816 BZQ589816 CJM589816 CTI589816 DDE589816 DNA589816 DWW589816 EGS589816 EQO589816 FAK589816 FKG589816 FUC589816 GDY589816 GNU589816 GXQ589816 HHM589816 HRI589816 IBE589816 ILA589816 IUW589816 JES589816 JOO589816 JYK589816 KIG589816 KSC589816 LBY589816 LLU589816 LVQ589816 MFM589816 MPI589816 MZE589816 NJA589816 NSW589816 OCS589816 OMO589816 OWK589816 PGG589816 PQC589816 PZY589816 QJU589816 QTQ589816 RDM589816 RNI589816 RXE589816 SHA589816 SQW589816 TAS589816 TKO589816 TUK589816 UEG589816 UOC589816 UXY589816 VHU589816 VRQ589816 WBM589816 WLI589816 WVE589816 B655352 IS655352 SO655352 ACK655352 AMG655352 AWC655352 BFY655352 BPU655352 BZQ655352 CJM655352 CTI655352 DDE655352 DNA655352 DWW655352 EGS655352 EQO655352 FAK655352 FKG655352 FUC655352 GDY655352 GNU655352 GXQ655352 HHM655352 HRI655352 IBE655352 ILA655352 IUW655352 JES655352 JOO655352 JYK655352 KIG655352 KSC655352 LBY655352 LLU655352 LVQ655352 MFM655352 MPI655352 MZE655352 NJA655352 NSW655352 OCS655352 OMO655352 OWK655352 PGG655352 PQC655352 PZY655352 QJU655352 QTQ655352 RDM655352 RNI655352 RXE655352 SHA655352 SQW655352 TAS655352 TKO655352 TUK655352 UEG655352 UOC655352 UXY655352 VHU655352 VRQ655352 WBM655352 WLI655352 WVE655352 B720888 IS720888 SO720888 ACK720888 AMG720888 AWC720888 BFY720888 BPU720888 BZQ720888 CJM720888 CTI720888 DDE720888 DNA720888 DWW720888 EGS720888 EQO720888 FAK720888 FKG720888 FUC720888 GDY720888 GNU720888 GXQ720888 HHM720888 HRI720888 IBE720888 ILA720888 IUW720888 JES720888 JOO720888 JYK720888 KIG720888 KSC720888 LBY720888 LLU720888 LVQ720888 MFM720888 MPI720888 MZE720888 NJA720888 NSW720888 OCS720888 OMO720888 OWK720888 PGG720888 PQC720888 PZY720888 QJU720888 QTQ720888 RDM720888 RNI720888 RXE720888 SHA720888 SQW720888 TAS720888 TKO720888 TUK720888 UEG720888 UOC720888 UXY720888 VHU720888 VRQ720888 WBM720888 WLI720888 WVE720888 B786424 IS786424 SO786424 ACK786424 AMG786424 AWC786424 BFY786424 BPU786424 BZQ786424 CJM786424 CTI786424 DDE786424 DNA786424 DWW786424 EGS786424 EQO786424 FAK786424 FKG786424 FUC786424 GDY786424 GNU786424 GXQ786424 HHM786424 HRI786424 IBE786424 ILA786424 IUW786424 JES786424 JOO786424 JYK786424 KIG786424 KSC786424 LBY786424 LLU786424 LVQ786424 MFM786424 MPI786424 MZE786424 NJA786424 NSW786424 OCS786424 OMO786424 OWK786424 PGG786424 PQC786424 PZY786424 QJU786424 QTQ786424 RDM786424 RNI786424 RXE786424 SHA786424 SQW786424 TAS786424 TKO786424 TUK786424 UEG786424 UOC786424 UXY786424 VHU786424 VRQ786424 WBM786424 WLI786424 WVE786424 B851960 IS851960 SO851960 ACK851960 AMG851960 AWC851960 BFY851960 BPU851960 BZQ851960 CJM851960 CTI851960 DDE851960 DNA851960 DWW851960 EGS851960 EQO851960 FAK851960 FKG851960 FUC851960 GDY851960 GNU851960 GXQ851960 HHM851960 HRI851960 IBE851960 ILA851960 IUW851960 JES851960 JOO851960 JYK851960 KIG851960 KSC851960 LBY851960 LLU851960 LVQ851960 MFM851960 MPI851960 MZE851960 NJA851960 NSW851960 OCS851960 OMO851960 OWK851960 PGG851960 PQC851960 PZY851960 QJU851960 QTQ851960 RDM851960 RNI851960 RXE851960 SHA851960 SQW851960 TAS851960 TKO851960 TUK851960 UEG851960 UOC851960 UXY851960 VHU851960 VRQ851960 WBM851960 WLI851960 WVE851960 B917496 IS917496 SO917496 ACK917496 AMG917496 AWC917496 BFY917496 BPU917496 BZQ917496 CJM917496 CTI917496 DDE917496 DNA917496 DWW917496 EGS917496 EQO917496 FAK917496 FKG917496 FUC917496 GDY917496 GNU917496 GXQ917496 HHM917496 HRI917496 IBE917496 ILA917496 IUW917496 JES917496 JOO917496 JYK917496 KIG917496 KSC917496 LBY917496 LLU917496 LVQ917496 MFM917496 MPI917496 MZE917496 NJA917496 NSW917496 OCS917496 OMO917496 OWK917496 PGG917496 PQC917496 PZY917496 QJU917496 QTQ917496 RDM917496 RNI917496 RXE917496 SHA917496 SQW917496 TAS917496 TKO917496 TUK917496 UEG917496 UOC917496 UXY917496 VHU917496 VRQ917496 WBM917496 WLI917496 WVE917496 B983032 IS983032 SO983032 ACK983032 AMG983032 AWC983032 BFY983032 BPU983032 BZQ983032 CJM983032 CTI983032 DDE983032 DNA983032 DWW983032 EGS983032 EQO983032 FAK983032 FKG983032 FUC983032 GDY983032 GNU983032 GXQ983032 HHM983032 HRI983032 IBE983032 ILA983032 IUW983032 JES983032 JOO983032 JYK983032 KIG983032 KSC983032 LBY983032 LLU983032 LVQ983032 MFM983032 MPI983032 MZE983032 NJA983032 NSW983032 OCS983032 OMO983032 OWK983032 PGG983032 PQC983032 PZY983032 QJU983032 QTQ983032 RDM983032 RNI983032 RXE983032 SHA983032 SQW983032 TAS983032 TKO983032 TUK983032 UEG983032 UOC983032 UXY983032 VHU983032 VRQ983032 WBM983032 WLI983032 WVE983032" xr:uid="{00000000-0002-0000-0200-000000000000}">
      <formula1>$B$4:$B$11</formula1>
      <formula2>0</formula2>
    </dataValidation>
  </dataValidations>
  <pageMargins left="0.74791666666666667" right="0.74791666666666667" top="0.98402777777777772" bottom="0.98402777777777772" header="0.51180555555555551" footer="0.51180555555555551"/>
  <pageSetup paperSize="9" firstPageNumber="0" orientation="portrait" horizontalDpi="300" verticalDpi="300" r:id="rId1"/>
  <headerFooter alignWithMargins="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4"/>
  <dimension ref="A1:F19"/>
  <sheetViews>
    <sheetView workbookViewId="0"/>
  </sheetViews>
  <sheetFormatPr defaultColWidth="8.7109375" defaultRowHeight="15" x14ac:dyDescent="0.25"/>
  <cols>
    <col min="1" max="5" width="8.7109375" style="2"/>
  </cols>
  <sheetData>
    <row r="1" spans="1:6" x14ac:dyDescent="0.25">
      <c r="B1" s="2" t="s">
        <v>36</v>
      </c>
      <c r="C1" s="2" t="s">
        <v>37</v>
      </c>
      <c r="D1" s="2" t="s">
        <v>40</v>
      </c>
      <c r="E1" s="2" t="s">
        <v>41</v>
      </c>
    </row>
    <row r="2" spans="1:6" x14ac:dyDescent="0.25">
      <c r="A2" s="2">
        <v>10</v>
      </c>
      <c r="B2" s="2">
        <v>47</v>
      </c>
      <c r="C2" s="2">
        <v>59</v>
      </c>
      <c r="D2" s="2">
        <v>43</v>
      </c>
      <c r="E2" s="2">
        <v>53</v>
      </c>
    </row>
    <row r="3" spans="1:6" x14ac:dyDescent="0.25">
      <c r="A3" s="2">
        <v>43.01</v>
      </c>
      <c r="B3" s="2">
        <v>47</v>
      </c>
      <c r="C3" s="2">
        <v>59</v>
      </c>
      <c r="D3" s="2">
        <v>47</v>
      </c>
      <c r="E3" s="2">
        <v>53</v>
      </c>
      <c r="F3" s="8"/>
    </row>
    <row r="4" spans="1:6" x14ac:dyDescent="0.25">
      <c r="A4" s="2">
        <v>47.01</v>
      </c>
      <c r="B4" s="2">
        <v>52</v>
      </c>
      <c r="C4" s="2">
        <v>59</v>
      </c>
      <c r="D4" s="2">
        <v>52</v>
      </c>
      <c r="E4" s="2">
        <v>53</v>
      </c>
      <c r="F4" s="8"/>
    </row>
    <row r="5" spans="1:6" x14ac:dyDescent="0.25">
      <c r="A5" s="2">
        <v>52.01</v>
      </c>
      <c r="B5" s="2">
        <v>57</v>
      </c>
      <c r="C5" s="2">
        <v>59</v>
      </c>
      <c r="D5" s="2">
        <v>57</v>
      </c>
      <c r="E5" s="2">
        <v>53</v>
      </c>
      <c r="F5" s="8"/>
    </row>
    <row r="6" spans="1:6" x14ac:dyDescent="0.25">
      <c r="A6" s="2">
        <v>53.01</v>
      </c>
      <c r="B6" s="2">
        <v>57</v>
      </c>
      <c r="C6" s="2">
        <v>59</v>
      </c>
      <c r="D6" s="2">
        <v>57</v>
      </c>
      <c r="E6" s="2">
        <v>59</v>
      </c>
      <c r="F6" s="9"/>
    </row>
    <row r="7" spans="1:6" x14ac:dyDescent="0.25">
      <c r="A7" s="2">
        <v>57.01</v>
      </c>
      <c r="B7" s="2">
        <v>63</v>
      </c>
      <c r="C7" s="2">
        <v>59</v>
      </c>
      <c r="D7" s="2">
        <v>63</v>
      </c>
      <c r="E7" s="2">
        <v>59</v>
      </c>
      <c r="F7" s="8"/>
    </row>
    <row r="8" spans="1:6" x14ac:dyDescent="0.25">
      <c r="A8" s="2">
        <v>59.01</v>
      </c>
      <c r="B8" s="2">
        <v>63</v>
      </c>
      <c r="C8" s="2">
        <v>66</v>
      </c>
      <c r="D8" s="2">
        <v>63</v>
      </c>
      <c r="E8" s="2">
        <v>66</v>
      </c>
      <c r="F8" s="9"/>
    </row>
    <row r="9" spans="1:6" x14ac:dyDescent="0.25">
      <c r="A9" s="2">
        <v>63.01</v>
      </c>
      <c r="B9" s="2">
        <v>69</v>
      </c>
      <c r="C9" s="2">
        <v>66</v>
      </c>
      <c r="D9" s="2">
        <v>69</v>
      </c>
      <c r="E9" s="2">
        <v>66</v>
      </c>
      <c r="F9" s="8"/>
    </row>
    <row r="10" spans="1:6" x14ac:dyDescent="0.25">
      <c r="A10" s="2">
        <v>66.010000000000005</v>
      </c>
      <c r="B10" s="2">
        <v>69</v>
      </c>
      <c r="C10" s="2">
        <v>74</v>
      </c>
      <c r="D10" s="2">
        <v>69</v>
      </c>
      <c r="E10" s="2">
        <v>74</v>
      </c>
      <c r="F10" s="9"/>
    </row>
    <row r="11" spans="1:6" x14ac:dyDescent="0.25">
      <c r="A11" s="2">
        <v>69.010000000000005</v>
      </c>
      <c r="B11" s="2">
        <v>76</v>
      </c>
      <c r="C11" s="2">
        <v>74</v>
      </c>
      <c r="D11" s="2">
        <v>76</v>
      </c>
      <c r="E11" s="2">
        <v>74</v>
      </c>
      <c r="F11" s="8"/>
    </row>
    <row r="12" spans="1:6" x14ac:dyDescent="0.25">
      <c r="A12" s="2">
        <v>74.010000000000005</v>
      </c>
      <c r="B12" s="2">
        <v>76</v>
      </c>
      <c r="C12" s="2">
        <v>83</v>
      </c>
      <c r="D12" s="2">
        <v>76</v>
      </c>
      <c r="E12" s="2">
        <v>83</v>
      </c>
      <c r="F12" s="8"/>
    </row>
    <row r="13" spans="1:6" x14ac:dyDescent="0.25">
      <c r="A13" s="2">
        <v>76.010000000000005</v>
      </c>
      <c r="B13" s="2">
        <v>84</v>
      </c>
      <c r="C13" s="2">
        <v>83</v>
      </c>
      <c r="D13" s="2">
        <v>84</v>
      </c>
      <c r="E13" s="2">
        <v>83</v>
      </c>
      <c r="F13" s="9"/>
    </row>
    <row r="14" spans="1:6" x14ac:dyDescent="0.25">
      <c r="A14" s="2">
        <v>83.01</v>
      </c>
      <c r="B14" s="2">
        <v>84</v>
      </c>
      <c r="C14" s="2">
        <v>93</v>
      </c>
      <c r="D14" s="2">
        <v>84</v>
      </c>
      <c r="E14" s="2">
        <v>93</v>
      </c>
      <c r="F14" s="8"/>
    </row>
    <row r="15" spans="1:6" x14ac:dyDescent="0.25">
      <c r="A15" s="2">
        <v>84.01</v>
      </c>
      <c r="B15" s="2" t="s">
        <v>38</v>
      </c>
      <c r="C15" s="2">
        <v>93</v>
      </c>
      <c r="D15" s="2" t="s">
        <v>38</v>
      </c>
      <c r="E15" s="2">
        <v>93</v>
      </c>
      <c r="F15" s="9"/>
    </row>
    <row r="16" spans="1:6" x14ac:dyDescent="0.25">
      <c r="A16" s="2">
        <v>93.01</v>
      </c>
      <c r="B16" s="2" t="s">
        <v>38</v>
      </c>
      <c r="C16" s="2">
        <v>105</v>
      </c>
      <c r="D16" s="2" t="s">
        <v>38</v>
      </c>
      <c r="E16" s="2">
        <v>105</v>
      </c>
      <c r="F16" s="9"/>
    </row>
    <row r="17" spans="1:6" x14ac:dyDescent="0.25">
      <c r="A17" s="2">
        <v>105.01</v>
      </c>
      <c r="B17" s="2" t="s">
        <v>38</v>
      </c>
      <c r="C17" s="2">
        <v>120</v>
      </c>
      <c r="D17" s="2" t="s">
        <v>38</v>
      </c>
      <c r="E17" s="2">
        <v>120</v>
      </c>
      <c r="F17" s="9"/>
    </row>
    <row r="18" spans="1:6" x14ac:dyDescent="0.25">
      <c r="A18" s="2">
        <v>120.01</v>
      </c>
      <c r="B18" s="2" t="s">
        <v>38</v>
      </c>
      <c r="C18" s="2" t="s">
        <v>39</v>
      </c>
      <c r="D18" s="2" t="s">
        <v>38</v>
      </c>
      <c r="E18" s="2" t="s">
        <v>39</v>
      </c>
      <c r="F18" s="9"/>
    </row>
    <row r="19" spans="1:6" x14ac:dyDescent="0.25">
      <c r="F19" s="8"/>
    </row>
  </sheetData>
  <sortState xmlns:xlrd2="http://schemas.microsoft.com/office/spreadsheetml/2017/richdata2" ref="F3:F20">
    <sortCondition ref="F3"/>
  </sortState>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1</vt:i4>
      </vt:variant>
    </vt:vector>
  </HeadingPairs>
  <TitlesOfParts>
    <vt:vector size="5" baseType="lpstr">
      <vt:lpstr>Scoresheet</vt:lpstr>
      <vt:lpstr>Instructions</vt:lpstr>
      <vt:lpstr>IPF GL Formula</vt:lpstr>
      <vt:lpstr>WeightClasses</vt:lpstr>
      <vt:lpstr>Scoresheet!Область_печати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OK</cp:lastModifiedBy>
  <cp:lastPrinted>2020-03-05T10:49:18Z</cp:lastPrinted>
  <dcterms:created xsi:type="dcterms:W3CDTF">2018-12-09T21:23:06Z</dcterms:created>
  <dcterms:modified xsi:type="dcterms:W3CDTF">2021-03-19T17:49:28Z</dcterms:modified>
</cp:coreProperties>
</file>